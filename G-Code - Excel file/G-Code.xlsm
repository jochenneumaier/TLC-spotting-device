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DieseArbeitsmappe" defaultThemeVersion="166925"/>
  <mc:AlternateContent xmlns:mc="http://schemas.openxmlformats.org/markup-compatibility/2006">
    <mc:Choice Requires="x15">
      <x15ac:absPath xmlns:x15ac="http://schemas.microsoft.com/office/spreadsheetml/2010/11/ac" url="C:\Users\JN\Desktop\G-Code - Excel file\"/>
    </mc:Choice>
  </mc:AlternateContent>
  <xr:revisionPtr revIDLastSave="0" documentId="13_ncr:1_{86C1A04C-0051-4B41-9840-FE78648AD5EF}" xr6:coauthVersionLast="47" xr6:coauthVersionMax="47" xr10:uidLastSave="{00000000-0000-0000-0000-000000000000}"/>
  <bookViews>
    <workbookView xWindow="38280" yWindow="5280" windowWidth="29040" windowHeight="15840" tabRatio="723" xr2:uid="{00000000-000D-0000-FFFF-FFFF00000000}"/>
  </bookViews>
  <sheets>
    <sheet name="read_me" sheetId="9" r:id="rId1"/>
    <sheet name="modify" sheetId="6" r:id="rId2"/>
    <sheet name="initialize" sheetId="13" r:id="rId3"/>
    <sheet name="calc1" sheetId="10" r:id="rId4"/>
    <sheet name="calc2" sheetId="27" r:id="rId5"/>
    <sheet name="calc3" sheetId="20" r:id="rId6"/>
    <sheet name="export" sheetId="26" r:id="rId7"/>
    <sheet name="labels" sheetId="15" r:id="rId8"/>
  </sheets>
  <definedNames>
    <definedName name="sampling_of_xth_sample__1_each" comment="fasrgrsg" localSheetId="1">INDEX(modify!L2:L999,COUNTA(modify!L2:L999))</definedName>
    <definedName name="sampling_of_xth_sample__1_each" comment="fasrgrsg">modify!$A$6</definedName>
    <definedName name="sampling_order">INDEX(calc1!$K$2:$K$5, MATCH(modify!$B$3,calc1!$J$2:$J$5,0))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 i="6" l="1"/>
  <c r="C5" i="27"/>
  <c r="A2" i="27"/>
  <c r="B2" i="27"/>
  <c r="B3" i="26" s="1"/>
  <c r="C2" i="27"/>
  <c r="D2" i="27"/>
  <c r="A11" i="27"/>
  <c r="B11" i="27"/>
  <c r="C11" i="27"/>
  <c r="A14" i="27"/>
  <c r="B14" i="27"/>
  <c r="C14" i="27"/>
  <c r="D14" i="27"/>
  <c r="B14" i="26"/>
  <c r="E2" i="15" a="1"/>
  <c r="E2" i="15" s="1"/>
  <c r="E19" i="15" a="1"/>
  <c r="E19" i="15" s="1"/>
  <c r="G18" i="15"/>
  <c r="G19" i="15"/>
  <c r="F19" i="15"/>
  <c r="E18" i="15" a="1"/>
  <c r="E18" i="15" s="1"/>
  <c r="F18" i="15"/>
  <c r="E17" i="15" a="1"/>
  <c r="E17" i="15" s="1"/>
  <c r="F17" i="15"/>
  <c r="G17" i="15"/>
  <c r="W3" i="10"/>
  <c r="W2" i="10"/>
  <c r="O6" i="10"/>
  <c r="N6" i="10"/>
  <c r="E74" i="15" a="1"/>
  <c r="E74" i="15" s="1"/>
  <c r="E73" i="15" a="1"/>
  <c r="E73" i="15" s="1"/>
  <c r="E72" i="15" a="1"/>
  <c r="E72" i="15" s="1"/>
  <c r="E71" i="15" a="1"/>
  <c r="E71" i="15" s="1"/>
  <c r="E70" i="15" a="1"/>
  <c r="E70" i="15" s="1"/>
  <c r="E69" i="15" a="1"/>
  <c r="E69" i="15" s="1"/>
  <c r="E68" i="15" a="1"/>
  <c r="E68" i="15" s="1"/>
  <c r="E67" i="15" a="1"/>
  <c r="E67" i="15" s="1"/>
  <c r="E66" i="15" a="1"/>
  <c r="E66" i="15" s="1"/>
  <c r="E65" i="15" a="1"/>
  <c r="E65" i="15" s="1"/>
  <c r="E64" i="15" a="1"/>
  <c r="E64" i="15" s="1"/>
  <c r="E63" i="15" a="1"/>
  <c r="E63" i="15" s="1"/>
  <c r="E62" i="15" a="1"/>
  <c r="E62" i="15" s="1"/>
  <c r="E61" i="15" a="1"/>
  <c r="E61" i="15" s="1"/>
  <c r="E60" i="15" a="1"/>
  <c r="E60" i="15" s="1"/>
  <c r="E59" i="15" a="1"/>
  <c r="E59" i="15" s="1"/>
  <c r="E58" i="15" a="1"/>
  <c r="E58" i="15" s="1"/>
  <c r="E57" i="15" a="1"/>
  <c r="E57" i="15" s="1"/>
  <c r="E56" i="15" a="1"/>
  <c r="E56" i="15" s="1"/>
  <c r="E55" i="15" a="1"/>
  <c r="E55" i="15" s="1"/>
  <c r="E54" i="15" a="1"/>
  <c r="E54" i="15" s="1"/>
  <c r="E53" i="15" a="1"/>
  <c r="E53" i="15" s="1"/>
  <c r="E52" i="15" a="1"/>
  <c r="E52" i="15" s="1"/>
  <c r="E51" i="15" a="1"/>
  <c r="E51" i="15" s="1"/>
  <c r="E50" i="15" a="1"/>
  <c r="E50" i="15" s="1"/>
  <c r="E49" i="15" a="1"/>
  <c r="E49" i="15" s="1"/>
  <c r="E45" i="15" a="1"/>
  <c r="E45" i="15" s="1"/>
  <c r="E44" i="15" a="1"/>
  <c r="E44" i="15" s="1"/>
  <c r="E43" i="15" a="1"/>
  <c r="E43" i="15" s="1"/>
  <c r="E42" i="15" a="1"/>
  <c r="E42" i="15" s="1"/>
  <c r="E41" i="15" a="1"/>
  <c r="E41" i="15" s="1"/>
  <c r="E40" i="15" a="1"/>
  <c r="E40" i="15" s="1"/>
  <c r="E39" i="15" a="1"/>
  <c r="E39" i="15" s="1"/>
  <c r="E38" i="15" a="1"/>
  <c r="E38" i="15" s="1"/>
  <c r="E37" i="15" a="1"/>
  <c r="E37" i="15" s="1"/>
  <c r="E36" i="15" a="1"/>
  <c r="E36" i="15" s="1"/>
  <c r="E35" i="15" a="1"/>
  <c r="E35" i="15" s="1"/>
  <c r="E34" i="15" a="1"/>
  <c r="E34" i="15" s="1"/>
  <c r="E33" i="15" a="1"/>
  <c r="E33" i="15" s="1"/>
  <c r="E29" i="15" a="1"/>
  <c r="E29" i="15" s="1"/>
  <c r="E25" i="15" a="1"/>
  <c r="E25" i="15" s="1"/>
  <c r="E24" i="15" a="1"/>
  <c r="E24" i="15" s="1"/>
  <c r="E16" i="15" a="1"/>
  <c r="E16" i="15" s="1"/>
  <c r="E15" i="15" a="1"/>
  <c r="E15" i="15" s="1"/>
  <c r="E14" i="15" a="1"/>
  <c r="E14" i="15" s="1"/>
  <c r="E13" i="15" a="1"/>
  <c r="E13" i="15" s="1"/>
  <c r="E12" i="15" a="1"/>
  <c r="E12" i="15" s="1"/>
  <c r="E11" i="15" a="1"/>
  <c r="E11" i="15" s="1"/>
  <c r="E10" i="15" a="1"/>
  <c r="E10" i="15" s="1"/>
  <c r="E9" i="15" a="1"/>
  <c r="E9" i="15" s="1"/>
  <c r="E8" i="15" a="1"/>
  <c r="E8" i="15" s="1"/>
  <c r="E7" i="15" a="1"/>
  <c r="E7" i="15" s="1"/>
  <c r="E6" i="15" a="1"/>
  <c r="E6" i="15" s="1"/>
  <c r="E5" i="15" a="1"/>
  <c r="E5" i="15" s="1"/>
  <c r="E4" i="15" a="1"/>
  <c r="E4" i="15" s="1"/>
  <c r="E3" i="15" a="1"/>
  <c r="E3" i="15" s="1"/>
  <c r="D3" i="26" l="1"/>
  <c r="B2" i="26"/>
  <c r="G2" i="26"/>
  <c r="G3" i="26"/>
  <c r="G16" i="15"/>
  <c r="F16" i="15"/>
  <c r="G15" i="15"/>
  <c r="F15" i="15"/>
  <c r="F61" i="15"/>
  <c r="G61" i="15"/>
  <c r="P6" i="10"/>
  <c r="B2" i="10" l="1"/>
  <c r="F24" i="15"/>
  <c r="G24" i="15"/>
  <c r="F25" i="15"/>
  <c r="G25" i="15"/>
  <c r="E2" i="10"/>
  <c r="M103" i="20" l="1"/>
  <c r="L103" i="20"/>
  <c r="K103" i="20"/>
  <c r="M102" i="20"/>
  <c r="L102" i="20"/>
  <c r="K102" i="20"/>
  <c r="F29" i="15" l="1"/>
  <c r="G29" i="15"/>
  <c r="G4" i="15"/>
  <c r="F4" i="15"/>
  <c r="F3" i="15"/>
  <c r="G3" i="15"/>
  <c r="G2" i="15"/>
  <c r="F2" i="15"/>
  <c r="F14" i="15"/>
  <c r="G14" i="15"/>
  <c r="F6" i="15"/>
  <c r="G6" i="15"/>
  <c r="F8" i="15"/>
  <c r="G8" i="15"/>
  <c r="F7" i="15"/>
  <c r="G7" i="15"/>
  <c r="G5" i="15"/>
  <c r="F5" i="15"/>
  <c r="F63" i="15"/>
  <c r="G63" i="15"/>
  <c r="G62" i="15"/>
  <c r="F62" i="15"/>
  <c r="F55" i="15"/>
  <c r="G55" i="15"/>
  <c r="F56" i="15"/>
  <c r="G56" i="15"/>
  <c r="G54" i="15"/>
  <c r="F54" i="15"/>
  <c r="G53" i="15"/>
  <c r="F53" i="15"/>
  <c r="G51" i="15"/>
  <c r="F51" i="15"/>
  <c r="G44" i="15"/>
  <c r="G43" i="15"/>
  <c r="G41" i="15"/>
  <c r="G40" i="15"/>
  <c r="G38" i="15"/>
  <c r="G37" i="15"/>
  <c r="G35" i="15"/>
  <c r="G34" i="15"/>
  <c r="G33" i="15"/>
  <c r="F44" i="15"/>
  <c r="F43" i="15"/>
  <c r="F41" i="15"/>
  <c r="F40" i="15"/>
  <c r="F38" i="15"/>
  <c r="F37" i="15"/>
  <c r="F35" i="15"/>
  <c r="F34" i="15"/>
  <c r="G45" i="15"/>
  <c r="F45" i="15"/>
  <c r="G42" i="15"/>
  <c r="F42" i="15"/>
  <c r="G39" i="15"/>
  <c r="F39" i="15"/>
  <c r="G36" i="15"/>
  <c r="F36" i="15"/>
  <c r="F33" i="15"/>
  <c r="F73" i="15"/>
  <c r="G73" i="15"/>
  <c r="F74" i="15"/>
  <c r="G74" i="15"/>
  <c r="G72" i="15"/>
  <c r="F72" i="15"/>
  <c r="F70" i="15"/>
  <c r="G70" i="15"/>
  <c r="F71" i="15"/>
  <c r="G71" i="15"/>
  <c r="G69" i="15"/>
  <c r="F69" i="15"/>
  <c r="F68" i="15"/>
  <c r="G68" i="15"/>
  <c r="F67" i="15"/>
  <c r="G67" i="15"/>
  <c r="F60" i="15"/>
  <c r="G60" i="15"/>
  <c r="F65" i="15"/>
  <c r="G65" i="15"/>
  <c r="F66" i="15"/>
  <c r="G66" i="15"/>
  <c r="G64" i="15"/>
  <c r="F64" i="15"/>
  <c r="F58" i="15"/>
  <c r="G58" i="15"/>
  <c r="F59" i="15"/>
  <c r="G59" i="15"/>
  <c r="G57" i="15"/>
  <c r="F57" i="15"/>
  <c r="G52" i="15"/>
  <c r="F52" i="15"/>
  <c r="G50" i="15"/>
  <c r="F50" i="15"/>
  <c r="G49" i="15"/>
  <c r="F49" i="15"/>
  <c r="F13" i="15"/>
  <c r="G13" i="15"/>
  <c r="G12" i="15"/>
  <c r="F12" i="15"/>
  <c r="G11" i="15"/>
  <c r="F11" i="15"/>
  <c r="F10" i="15"/>
  <c r="G10" i="15"/>
  <c r="G9" i="15"/>
  <c r="F9" i="15"/>
  <c r="H4" i="10" l="1"/>
  <c r="H5" i="10" l="1"/>
  <c r="H2" i="10"/>
  <c r="B4" i="10"/>
  <c r="B5" i="27" s="1"/>
  <c r="B3" i="10" l="1"/>
  <c r="H3" i="10"/>
  <c r="E3" i="10" s="1"/>
  <c r="I92" i="20"/>
  <c r="I82" i="20"/>
  <c r="I75" i="20"/>
  <c r="I66" i="20"/>
  <c r="I50" i="20"/>
  <c r="I15" i="20"/>
  <c r="I4" i="20"/>
  <c r="I23" i="20"/>
  <c r="I99" i="20"/>
  <c r="I56" i="20"/>
  <c r="I71" i="20"/>
  <c r="I32" i="20"/>
  <c r="I68" i="20"/>
  <c r="I29" i="20"/>
  <c r="I91" i="20"/>
  <c r="I74" i="20"/>
  <c r="I49" i="20"/>
  <c r="I43" i="20"/>
  <c r="I36" i="20"/>
  <c r="I27" i="20"/>
  <c r="I14" i="20"/>
  <c r="I47" i="20"/>
  <c r="I22" i="20"/>
  <c r="I79" i="20"/>
  <c r="I21" i="20"/>
  <c r="I20" i="20"/>
  <c r="I69" i="20"/>
  <c r="I7" i="20"/>
  <c r="I84" i="20"/>
  <c r="I101" i="20"/>
  <c r="I90" i="20"/>
  <c r="I58" i="20"/>
  <c r="I35" i="20"/>
  <c r="I26" i="20"/>
  <c r="I13" i="20"/>
  <c r="I3" i="20"/>
  <c r="I46" i="20"/>
  <c r="I87" i="20"/>
  <c r="I40" i="20"/>
  <c r="I86" i="20"/>
  <c r="I38" i="20"/>
  <c r="I73" i="20"/>
  <c r="I42" i="20"/>
  <c r="I25" i="20"/>
  <c r="I88" i="20"/>
  <c r="I63" i="20"/>
  <c r="I9" i="20"/>
  <c r="I60" i="20"/>
  <c r="I100" i="20"/>
  <c r="I81" i="20"/>
  <c r="I65" i="20"/>
  <c r="I48" i="20"/>
  <c r="I34" i="20"/>
  <c r="I24" i="20"/>
  <c r="I12" i="20"/>
  <c r="I2" i="20"/>
  <c r="I89" i="20"/>
  <c r="I57" i="20"/>
  <c r="I10" i="20"/>
  <c r="I98" i="20"/>
  <c r="I97" i="20"/>
  <c r="I80" i="20"/>
  <c r="I72" i="20"/>
  <c r="I64" i="20"/>
  <c r="I41" i="20"/>
  <c r="I33" i="20"/>
  <c r="I11" i="20"/>
  <c r="I55" i="20"/>
  <c r="I95" i="20"/>
  <c r="I44" i="20"/>
  <c r="I17" i="20"/>
  <c r="I96" i="20"/>
  <c r="I85" i="20"/>
  <c r="I70" i="20"/>
  <c r="I62" i="20"/>
  <c r="I39" i="20"/>
  <c r="I31" i="20"/>
  <c r="I19" i="20"/>
  <c r="I78" i="20"/>
  <c r="I61" i="20"/>
  <c r="I54" i="20"/>
  <c r="I45" i="20"/>
  <c r="I30" i="20"/>
  <c r="I18" i="20"/>
  <c r="I8" i="20"/>
  <c r="I77" i="20"/>
  <c r="I53" i="20"/>
  <c r="I94" i="20"/>
  <c r="I28" i="20"/>
  <c r="I83" i="20"/>
  <c r="I76" i="20"/>
  <c r="I93" i="20"/>
  <c r="I67" i="20"/>
  <c r="I59" i="20"/>
  <c r="I16" i="20"/>
  <c r="I5" i="20"/>
  <c r="I51" i="20"/>
  <c r="I37" i="20"/>
  <c r="I6" i="20"/>
  <c r="I52" i="20"/>
  <c r="B6" i="10" l="1"/>
  <c r="A5" i="27"/>
  <c r="N69" i="20"/>
  <c r="G69" i="20"/>
  <c r="G71" i="20"/>
  <c r="L71" i="20" s="1"/>
  <c r="G63" i="20"/>
  <c r="N63" i="20"/>
  <c r="N73" i="20"/>
  <c r="G73" i="20"/>
  <c r="N85" i="20"/>
  <c r="G85" i="20"/>
  <c r="N99" i="20"/>
  <c r="G99" i="20"/>
  <c r="G97" i="20"/>
  <c r="L97" i="20" s="1"/>
  <c r="G86" i="20"/>
  <c r="L86" i="20" s="1"/>
  <c r="N79" i="20"/>
  <c r="G79" i="20"/>
  <c r="N84" i="20"/>
  <c r="G84" i="20"/>
  <c r="N101" i="20"/>
  <c r="G101" i="20"/>
  <c r="N93" i="20"/>
  <c r="G93" i="20"/>
  <c r="N76" i="20"/>
  <c r="G76" i="20"/>
  <c r="N94" i="20"/>
  <c r="G94" i="20"/>
  <c r="N88" i="20"/>
  <c r="G88" i="20"/>
  <c r="G83" i="20"/>
  <c r="L83" i="20" s="1"/>
  <c r="G66" i="20"/>
  <c r="N66" i="20"/>
  <c r="N75" i="20"/>
  <c r="G75" i="20"/>
  <c r="G98" i="20"/>
  <c r="N98" i="20"/>
  <c r="N70" i="20"/>
  <c r="G70" i="20"/>
  <c r="G81" i="20"/>
  <c r="N81" i="20"/>
  <c r="N100" i="20"/>
  <c r="G100" i="20"/>
  <c r="N64" i="20"/>
  <c r="G64" i="20"/>
  <c r="N96" i="20"/>
  <c r="G96" i="20"/>
  <c r="N78" i="20"/>
  <c r="G78" i="20"/>
  <c r="N90" i="20"/>
  <c r="G90" i="20"/>
  <c r="N91" i="20"/>
  <c r="G91" i="20"/>
  <c r="B7" i="10"/>
  <c r="E4" i="10"/>
  <c r="E5" i="10" s="1"/>
  <c r="D9" i="20"/>
  <c r="H9" i="20"/>
  <c r="C9" i="20"/>
  <c r="E9" i="20" s="1"/>
  <c r="B9" i="20"/>
  <c r="C19" i="20"/>
  <c r="E19" i="20" s="1"/>
  <c r="D19" i="20"/>
  <c r="B19" i="20"/>
  <c r="J19" i="20" s="1"/>
  <c r="H19" i="20"/>
  <c r="C67" i="20"/>
  <c r="E67" i="20" s="1"/>
  <c r="D67" i="20"/>
  <c r="B67" i="20"/>
  <c r="H67" i="20"/>
  <c r="D39" i="20"/>
  <c r="C39" i="20"/>
  <c r="H39" i="20"/>
  <c r="B39" i="20"/>
  <c r="J39" i="20" s="1"/>
  <c r="H42" i="20"/>
  <c r="C42" i="20"/>
  <c r="D42" i="20"/>
  <c r="B42" i="20"/>
  <c r="J42" i="20" s="1"/>
  <c r="H71" i="20"/>
  <c r="D71" i="20"/>
  <c r="C71" i="20"/>
  <c r="E71" i="20" s="1"/>
  <c r="J71" i="20"/>
  <c r="B71" i="20"/>
  <c r="C83" i="20"/>
  <c r="E83" i="20" s="1"/>
  <c r="D83" i="20"/>
  <c r="H83" i="20"/>
  <c r="B83" i="20"/>
  <c r="J83" i="20" s="1"/>
  <c r="J70" i="20"/>
  <c r="M70" i="20" s="1"/>
  <c r="C70" i="20"/>
  <c r="E70" i="20" s="1"/>
  <c r="D70" i="20"/>
  <c r="B70" i="20"/>
  <c r="K70" i="20"/>
  <c r="L70" i="20"/>
  <c r="H70" i="20"/>
  <c r="D57" i="20"/>
  <c r="H57" i="20"/>
  <c r="C57" i="20"/>
  <c r="E57" i="20" s="1"/>
  <c r="B57" i="20"/>
  <c r="J73" i="20"/>
  <c r="M73" i="20" s="1"/>
  <c r="B73" i="20"/>
  <c r="D73" i="20"/>
  <c r="C73" i="20"/>
  <c r="F73" i="20" s="1"/>
  <c r="K73" i="20"/>
  <c r="H73" i="20"/>
  <c r="L73" i="20"/>
  <c r="H20" i="20"/>
  <c r="C20" i="20"/>
  <c r="E20" i="20" s="1"/>
  <c r="D20" i="20"/>
  <c r="B20" i="20"/>
  <c r="C56" i="20"/>
  <c r="E56" i="20" s="1"/>
  <c r="D56" i="20"/>
  <c r="H56" i="20"/>
  <c r="B56" i="20"/>
  <c r="J56" i="20" s="1"/>
  <c r="J91" i="20"/>
  <c r="M91" i="20" s="1"/>
  <c r="C91" i="20"/>
  <c r="E91" i="20" s="1"/>
  <c r="D91" i="20"/>
  <c r="L91" i="20"/>
  <c r="B91" i="20"/>
  <c r="H91" i="20"/>
  <c r="K91" i="20"/>
  <c r="H31" i="20"/>
  <c r="C31" i="20"/>
  <c r="D31" i="20"/>
  <c r="B31" i="20"/>
  <c r="J31" i="20" s="1"/>
  <c r="H98" i="20"/>
  <c r="C98" i="20"/>
  <c r="E98" i="20" s="1"/>
  <c r="D98" i="20"/>
  <c r="L98" i="20"/>
  <c r="K98" i="20"/>
  <c r="J98" i="20"/>
  <c r="M98" i="20" s="1"/>
  <c r="B98" i="20"/>
  <c r="J76" i="20"/>
  <c r="M76" i="20" s="1"/>
  <c r="C76" i="20"/>
  <c r="F76" i="20" s="1"/>
  <c r="D76" i="20"/>
  <c r="L76" i="20"/>
  <c r="H76" i="20"/>
  <c r="B76" i="20"/>
  <c r="K76" i="20"/>
  <c r="B38" i="20"/>
  <c r="J38" i="20" s="1"/>
  <c r="C38" i="20"/>
  <c r="E38" i="20" s="1"/>
  <c r="D38" i="20"/>
  <c r="H38" i="20"/>
  <c r="H79" i="20"/>
  <c r="C79" i="20"/>
  <c r="E79" i="20" s="1"/>
  <c r="D79" i="20"/>
  <c r="K79" i="20"/>
  <c r="L79" i="20"/>
  <c r="J79" i="20"/>
  <c r="M79" i="20" s="1"/>
  <c r="B79" i="20"/>
  <c r="H40" i="20"/>
  <c r="C40" i="20"/>
  <c r="D40" i="20"/>
  <c r="B40" i="20"/>
  <c r="J40" i="20"/>
  <c r="C8" i="20"/>
  <c r="E8" i="20" s="1"/>
  <c r="D8" i="20"/>
  <c r="H8" i="20"/>
  <c r="B8" i="20"/>
  <c r="J8" i="20" s="1"/>
  <c r="H46" i="20"/>
  <c r="C46" i="20"/>
  <c r="E46" i="20" s="1"/>
  <c r="D46" i="20"/>
  <c r="B46" i="20"/>
  <c r="J46" i="20" s="1"/>
  <c r="C14" i="20"/>
  <c r="E14" i="20" s="1"/>
  <c r="D14" i="20"/>
  <c r="H14" i="20"/>
  <c r="B14" i="20"/>
  <c r="H50" i="20"/>
  <c r="C50" i="20"/>
  <c r="E50" i="20" s="1"/>
  <c r="D50" i="20"/>
  <c r="B50" i="20"/>
  <c r="J50" i="20" s="1"/>
  <c r="H72" i="20"/>
  <c r="C72" i="20"/>
  <c r="E72" i="20" s="1"/>
  <c r="D72" i="20"/>
  <c r="B72" i="20"/>
  <c r="J72" i="20"/>
  <c r="D63" i="20"/>
  <c r="C63" i="20"/>
  <c r="E63" i="20" s="1"/>
  <c r="H63" i="20"/>
  <c r="K63" i="20"/>
  <c r="B63" i="20"/>
  <c r="J63" i="20"/>
  <c r="M63" i="20" s="1"/>
  <c r="L63" i="20"/>
  <c r="C68" i="20"/>
  <c r="D68" i="20"/>
  <c r="H68" i="20"/>
  <c r="B68" i="20"/>
  <c r="J68" i="20" s="1"/>
  <c r="B32" i="20"/>
  <c r="J32" i="20" s="1"/>
  <c r="C32" i="20"/>
  <c r="E32" i="20" s="1"/>
  <c r="D32" i="20"/>
  <c r="H32" i="20"/>
  <c r="C99" i="20"/>
  <c r="E99" i="20" s="1"/>
  <c r="D99" i="20"/>
  <c r="J99" i="20"/>
  <c r="M99" i="20" s="1"/>
  <c r="L99" i="20"/>
  <c r="H99" i="20"/>
  <c r="K99" i="20"/>
  <c r="B99" i="20"/>
  <c r="C2" i="20"/>
  <c r="E2" i="20" s="1"/>
  <c r="H2" i="20"/>
  <c r="D2" i="20"/>
  <c r="B2" i="20"/>
  <c r="G2" i="20" s="1"/>
  <c r="H17" i="20"/>
  <c r="D17" i="20"/>
  <c r="C17" i="20"/>
  <c r="E17" i="20" s="1"/>
  <c r="B17" i="20"/>
  <c r="C22" i="20"/>
  <c r="E22" i="20" s="1"/>
  <c r="D22" i="20"/>
  <c r="H22" i="20"/>
  <c r="B22" i="20"/>
  <c r="D87" i="20"/>
  <c r="C87" i="20"/>
  <c r="F87" i="20" s="1"/>
  <c r="B87" i="20"/>
  <c r="H87" i="20"/>
  <c r="C34" i="20"/>
  <c r="E34" i="20" s="1"/>
  <c r="D34" i="20"/>
  <c r="B34" i="20"/>
  <c r="J34" i="20" s="1"/>
  <c r="H34" i="20"/>
  <c r="H18" i="20"/>
  <c r="C18" i="20"/>
  <c r="E18" i="20" s="1"/>
  <c r="D18" i="20"/>
  <c r="B18" i="20"/>
  <c r="J18" i="20" s="1"/>
  <c r="C55" i="20"/>
  <c r="E55" i="20" s="1"/>
  <c r="D55" i="20"/>
  <c r="B55" i="20"/>
  <c r="H55" i="20"/>
  <c r="H48" i="20"/>
  <c r="C48" i="20"/>
  <c r="D48" i="20"/>
  <c r="B48" i="20"/>
  <c r="J48" i="20" s="1"/>
  <c r="C3" i="20"/>
  <c r="E3" i="20" s="1"/>
  <c r="D3" i="20"/>
  <c r="H3" i="20"/>
  <c r="B3" i="20"/>
  <c r="J3" i="20" s="1"/>
  <c r="H27" i="20"/>
  <c r="C27" i="20"/>
  <c r="E27" i="20" s="1"/>
  <c r="D27" i="20"/>
  <c r="B27" i="20"/>
  <c r="J27" i="20" s="1"/>
  <c r="H66" i="20"/>
  <c r="B66" i="20"/>
  <c r="C66" i="20"/>
  <c r="E66" i="20" s="1"/>
  <c r="D66" i="20"/>
  <c r="L66" i="20"/>
  <c r="K66" i="20"/>
  <c r="J66" i="20"/>
  <c r="M66" i="20" s="1"/>
  <c r="C16" i="20"/>
  <c r="E16" i="20" s="1"/>
  <c r="D16" i="20"/>
  <c r="H16" i="20"/>
  <c r="B16" i="20"/>
  <c r="J16" i="20" s="1"/>
  <c r="C59" i="20"/>
  <c r="E59" i="20" s="1"/>
  <c r="H59" i="20"/>
  <c r="D59" i="20"/>
  <c r="B59" i="20"/>
  <c r="J59" i="20" s="1"/>
  <c r="K88" i="20"/>
  <c r="C88" i="20"/>
  <c r="E88" i="20" s="1"/>
  <c r="D88" i="20"/>
  <c r="B88" i="20"/>
  <c r="L88" i="20"/>
  <c r="H88" i="20"/>
  <c r="J88" i="20"/>
  <c r="M88" i="20" s="1"/>
  <c r="C93" i="20"/>
  <c r="F93" i="20" s="1"/>
  <c r="D93" i="20"/>
  <c r="H93" i="20"/>
  <c r="B93" i="20"/>
  <c r="J93" i="20"/>
  <c r="M93" i="20" s="1"/>
  <c r="L93" i="20"/>
  <c r="K93" i="20"/>
  <c r="C62" i="20"/>
  <c r="E62" i="20" s="1"/>
  <c r="D62" i="20"/>
  <c r="B62" i="20"/>
  <c r="H62" i="20"/>
  <c r="D21" i="20"/>
  <c r="C21" i="20"/>
  <c r="H21" i="20"/>
  <c r="B21" i="20"/>
  <c r="C86" i="20"/>
  <c r="E86" i="20" s="1"/>
  <c r="D86" i="20"/>
  <c r="B86" i="20"/>
  <c r="J86" i="20"/>
  <c r="H86" i="20"/>
  <c r="C53" i="20"/>
  <c r="E53" i="20" s="1"/>
  <c r="D53" i="20"/>
  <c r="B53" i="20"/>
  <c r="J53" i="20" s="1"/>
  <c r="H53" i="20"/>
  <c r="D77" i="20"/>
  <c r="C77" i="20"/>
  <c r="E77" i="20" s="1"/>
  <c r="B77" i="20"/>
  <c r="H77" i="20"/>
  <c r="H47" i="20"/>
  <c r="C47" i="20"/>
  <c r="D47" i="20"/>
  <c r="B47" i="20"/>
  <c r="J47" i="20" s="1"/>
  <c r="C11" i="20"/>
  <c r="E11" i="20" s="1"/>
  <c r="D11" i="20"/>
  <c r="H11" i="20"/>
  <c r="B11" i="20"/>
  <c r="D13" i="20"/>
  <c r="H13" i="20"/>
  <c r="C13" i="20"/>
  <c r="E13" i="20" s="1"/>
  <c r="B13" i="20"/>
  <c r="C36" i="20"/>
  <c r="D36" i="20"/>
  <c r="B36" i="20"/>
  <c r="J36" i="20" s="1"/>
  <c r="H36" i="20"/>
  <c r="C75" i="20"/>
  <c r="F75" i="20" s="1"/>
  <c r="D75" i="20"/>
  <c r="B75" i="20"/>
  <c r="H75" i="20"/>
  <c r="K75" i="20"/>
  <c r="J75" i="20"/>
  <c r="M75" i="20" s="1"/>
  <c r="L75" i="20"/>
  <c r="B80" i="20"/>
  <c r="H80" i="20"/>
  <c r="C80" i="20"/>
  <c r="E80" i="20" s="1"/>
  <c r="D80" i="20"/>
  <c r="J80" i="20"/>
  <c r="D97" i="20"/>
  <c r="C97" i="20"/>
  <c r="E97" i="20" s="1"/>
  <c r="B97" i="20"/>
  <c r="H97" i="20"/>
  <c r="H10" i="20"/>
  <c r="C10" i="20"/>
  <c r="E10" i="20" s="1"/>
  <c r="D10" i="20"/>
  <c r="B10" i="20"/>
  <c r="L85" i="20"/>
  <c r="B85" i="20"/>
  <c r="D85" i="20"/>
  <c r="C85" i="20"/>
  <c r="F85" i="20" s="1"/>
  <c r="K85" i="20"/>
  <c r="H85" i="20"/>
  <c r="J85" i="20"/>
  <c r="M85" i="20" s="1"/>
  <c r="C94" i="20"/>
  <c r="F94" i="20" s="1"/>
  <c r="D94" i="20"/>
  <c r="L94" i="20"/>
  <c r="H94" i="20"/>
  <c r="B94" i="20"/>
  <c r="J94" i="20"/>
  <c r="M94" i="20" s="1"/>
  <c r="K94" i="20"/>
  <c r="D23" i="20"/>
  <c r="C23" i="20"/>
  <c r="H23" i="20"/>
  <c r="B23" i="20"/>
  <c r="J23" i="20" s="1"/>
  <c r="C12" i="20"/>
  <c r="E12" i="20" s="1"/>
  <c r="D12" i="20"/>
  <c r="H12" i="20"/>
  <c r="B12" i="20"/>
  <c r="J12" i="20" s="1"/>
  <c r="C44" i="20"/>
  <c r="E44" i="20" s="1"/>
  <c r="H44" i="20"/>
  <c r="D44" i="20"/>
  <c r="B44" i="20"/>
  <c r="J44" i="20" s="1"/>
  <c r="D15" i="20"/>
  <c r="C15" i="20"/>
  <c r="E15" i="20" s="1"/>
  <c r="B15" i="20"/>
  <c r="J15" i="20" s="1"/>
  <c r="H15" i="20"/>
  <c r="B30" i="20"/>
  <c r="J30" i="20" s="1"/>
  <c r="C30" i="20"/>
  <c r="D30" i="20"/>
  <c r="H30" i="20"/>
  <c r="H65" i="20"/>
  <c r="B65" i="20"/>
  <c r="G65" i="20" s="1"/>
  <c r="L65" i="20" s="1"/>
  <c r="D65" i="20"/>
  <c r="J65" i="20"/>
  <c r="C65" i="20"/>
  <c r="B37" i="20"/>
  <c r="J37" i="20" s="1"/>
  <c r="D37" i="20"/>
  <c r="C37" i="20"/>
  <c r="H37" i="20"/>
  <c r="D45" i="20"/>
  <c r="C45" i="20"/>
  <c r="F45" i="20" s="1"/>
  <c r="H45" i="20"/>
  <c r="B45" i="20"/>
  <c r="J45" i="20" s="1"/>
  <c r="H33" i="20"/>
  <c r="D33" i="20"/>
  <c r="B33" i="20"/>
  <c r="J33" i="20" s="1"/>
  <c r="C33" i="20"/>
  <c r="E33" i="20" s="1"/>
  <c r="H81" i="20"/>
  <c r="B81" i="20"/>
  <c r="D81" i="20"/>
  <c r="C81" i="20"/>
  <c r="F81" i="20" s="1"/>
  <c r="L81" i="20"/>
  <c r="K81" i="20"/>
  <c r="J81" i="20"/>
  <c r="M81" i="20" s="1"/>
  <c r="H26" i="20"/>
  <c r="D26" i="20"/>
  <c r="C26" i="20"/>
  <c r="E26" i="20" s="1"/>
  <c r="B26" i="20"/>
  <c r="C43" i="20"/>
  <c r="D43" i="20"/>
  <c r="H43" i="20"/>
  <c r="B43" i="20"/>
  <c r="H82" i="20"/>
  <c r="C82" i="20"/>
  <c r="E82" i="20" s="1"/>
  <c r="D82" i="20"/>
  <c r="B82" i="20"/>
  <c r="J82" i="20" s="1"/>
  <c r="C78" i="20"/>
  <c r="E78" i="20" s="1"/>
  <c r="D78" i="20"/>
  <c r="L78" i="20"/>
  <c r="K78" i="20"/>
  <c r="H78" i="20"/>
  <c r="B78" i="20"/>
  <c r="J78" i="20"/>
  <c r="M78" i="20" s="1"/>
  <c r="D101" i="20"/>
  <c r="H101" i="20"/>
  <c r="C101" i="20"/>
  <c r="F101" i="20" s="1"/>
  <c r="K101" i="20"/>
  <c r="L101" i="20"/>
  <c r="J101" i="20"/>
  <c r="M101" i="20" s="1"/>
  <c r="B101" i="20"/>
  <c r="H84" i="20"/>
  <c r="C84" i="20"/>
  <c r="E84" i="20" s="1"/>
  <c r="D84" i="20"/>
  <c r="B84" i="20"/>
  <c r="K84" i="20"/>
  <c r="J84" i="20"/>
  <c r="M84" i="20" s="1"/>
  <c r="L84" i="20"/>
  <c r="D25" i="20"/>
  <c r="C25" i="20"/>
  <c r="E25" i="20" s="1"/>
  <c r="H25" i="20"/>
  <c r="B25" i="20"/>
  <c r="D69" i="20"/>
  <c r="C69" i="20"/>
  <c r="F69" i="20" s="1"/>
  <c r="J69" i="20"/>
  <c r="M69" i="20" s="1"/>
  <c r="L69" i="20"/>
  <c r="B69" i="20"/>
  <c r="K69" i="20"/>
  <c r="H69" i="20"/>
  <c r="H89" i="20"/>
  <c r="C89" i="20"/>
  <c r="E89" i="20" s="1"/>
  <c r="D89" i="20"/>
  <c r="B89" i="20"/>
  <c r="K96" i="20"/>
  <c r="C96" i="20"/>
  <c r="F96" i="20" s="1"/>
  <c r="D96" i="20"/>
  <c r="B96" i="20"/>
  <c r="H96" i="20"/>
  <c r="L96" i="20"/>
  <c r="J96" i="20"/>
  <c r="M96" i="20" s="1"/>
  <c r="H4" i="20"/>
  <c r="C4" i="20"/>
  <c r="E4" i="20" s="1"/>
  <c r="D4" i="20"/>
  <c r="B4" i="20"/>
  <c r="H24" i="20"/>
  <c r="C24" i="20"/>
  <c r="E24" i="20" s="1"/>
  <c r="D24" i="20"/>
  <c r="B24" i="20"/>
  <c r="H95" i="20"/>
  <c r="D95" i="20"/>
  <c r="C95" i="20"/>
  <c r="F95" i="20" s="1"/>
  <c r="B95" i="20"/>
  <c r="J95" i="20"/>
  <c r="B51" i="20"/>
  <c r="C51" i="20"/>
  <c r="E51" i="20" s="1"/>
  <c r="D51" i="20"/>
  <c r="H51" i="20"/>
  <c r="B54" i="20"/>
  <c r="C54" i="20"/>
  <c r="E54" i="20" s="1"/>
  <c r="D54" i="20"/>
  <c r="H54" i="20"/>
  <c r="H41" i="20"/>
  <c r="C41" i="20"/>
  <c r="E41" i="20" s="1"/>
  <c r="D41" i="20"/>
  <c r="B41" i="20"/>
  <c r="H100" i="20"/>
  <c r="C100" i="20"/>
  <c r="F100" i="20" s="1"/>
  <c r="D100" i="20"/>
  <c r="B100" i="20"/>
  <c r="L100" i="20"/>
  <c r="K100" i="20"/>
  <c r="J100" i="20"/>
  <c r="M100" i="20" s="1"/>
  <c r="C35" i="20"/>
  <c r="D35" i="20"/>
  <c r="B35" i="20"/>
  <c r="H35" i="20"/>
  <c r="J35" i="20"/>
  <c r="H49" i="20"/>
  <c r="B49" i="20"/>
  <c r="J49" i="20" s="1"/>
  <c r="D49" i="20"/>
  <c r="C49" i="20"/>
  <c r="E49" i="20" s="1"/>
  <c r="C92" i="20"/>
  <c r="E92" i="20" s="1"/>
  <c r="D92" i="20"/>
  <c r="B92" i="20"/>
  <c r="J92" i="20" s="1"/>
  <c r="H92" i="20"/>
  <c r="H90" i="20"/>
  <c r="D90" i="20"/>
  <c r="C90" i="20"/>
  <c r="F90" i="20" s="1"/>
  <c r="J90" i="20"/>
  <c r="M90" i="20" s="1"/>
  <c r="K90" i="20"/>
  <c r="B90" i="20"/>
  <c r="L90" i="20"/>
  <c r="D29" i="20"/>
  <c r="C29" i="20"/>
  <c r="H29" i="20"/>
  <c r="B29" i="20"/>
  <c r="C7" i="20"/>
  <c r="E7" i="20" s="1"/>
  <c r="H7" i="20"/>
  <c r="D7" i="20"/>
  <c r="B7" i="20"/>
  <c r="J7" i="20" s="1"/>
  <c r="H28" i="20"/>
  <c r="C28" i="20"/>
  <c r="E28" i="20" s="1"/>
  <c r="D28" i="20"/>
  <c r="B28" i="20"/>
  <c r="J28" i="20" s="1"/>
  <c r="C52" i="20"/>
  <c r="E52" i="20" s="1"/>
  <c r="D52" i="20"/>
  <c r="B52" i="20"/>
  <c r="J52" i="20" s="1"/>
  <c r="H52" i="20"/>
  <c r="C6" i="20"/>
  <c r="E6" i="20" s="1"/>
  <c r="D6" i="20"/>
  <c r="H6" i="20"/>
  <c r="B6" i="20"/>
  <c r="C5" i="20"/>
  <c r="E5" i="20" s="1"/>
  <c r="D5" i="20"/>
  <c r="H5" i="20"/>
  <c r="B5" i="20"/>
  <c r="G5" i="20" s="1"/>
  <c r="D61" i="20"/>
  <c r="C61" i="20"/>
  <c r="E61" i="20" s="1"/>
  <c r="H61" i="20"/>
  <c r="B61" i="20"/>
  <c r="G61" i="20" s="1"/>
  <c r="L61" i="20" s="1"/>
  <c r="J61" i="20"/>
  <c r="M61" i="20" s="1"/>
  <c r="L64" i="20"/>
  <c r="H64" i="20"/>
  <c r="C64" i="20"/>
  <c r="F64" i="20" s="1"/>
  <c r="D64" i="20"/>
  <c r="K64" i="20"/>
  <c r="B64" i="20"/>
  <c r="J64" i="20"/>
  <c r="M64" i="20" s="1"/>
  <c r="C60" i="20"/>
  <c r="D60" i="20"/>
  <c r="H60" i="20"/>
  <c r="B60" i="20"/>
  <c r="J60" i="20" s="1"/>
  <c r="H58" i="20"/>
  <c r="C58" i="20"/>
  <c r="E58" i="20" s="1"/>
  <c r="D58" i="20"/>
  <c r="B58" i="20"/>
  <c r="H74" i="20"/>
  <c r="C74" i="20"/>
  <c r="D74" i="20"/>
  <c r="B74" i="20"/>
  <c r="B5" i="10"/>
  <c r="G13" i="20" l="1"/>
  <c r="L13" i="20" s="1"/>
  <c r="G62" i="20"/>
  <c r="L62" i="20" s="1"/>
  <c r="G87" i="20"/>
  <c r="L87" i="20" s="1"/>
  <c r="J67" i="20"/>
  <c r="G82" i="20"/>
  <c r="L82" i="20" s="1"/>
  <c r="J97" i="20"/>
  <c r="M97" i="20" s="1"/>
  <c r="J87" i="20"/>
  <c r="G72" i="20"/>
  <c r="L72" i="20" s="1"/>
  <c r="G67" i="20"/>
  <c r="L67" i="20" s="1"/>
  <c r="J74" i="20"/>
  <c r="G68" i="20"/>
  <c r="L68" i="20" s="1"/>
  <c r="F74" i="20"/>
  <c r="G95" i="20"/>
  <c r="L95" i="20" s="1"/>
  <c r="J62" i="20"/>
  <c r="G74" i="20"/>
  <c r="L74" i="20" s="1"/>
  <c r="G80" i="20"/>
  <c r="L80" i="20" s="1"/>
  <c r="J77" i="20"/>
  <c r="J89" i="20"/>
  <c r="G92" i="20"/>
  <c r="L92" i="20" s="1"/>
  <c r="G89" i="20"/>
  <c r="L89" i="20" s="1"/>
  <c r="F68" i="20"/>
  <c r="G77" i="20"/>
  <c r="L77" i="20" s="1"/>
  <c r="F65" i="20"/>
  <c r="F37" i="20"/>
  <c r="G46" i="20"/>
  <c r="L46" i="20" s="1"/>
  <c r="G51" i="20"/>
  <c r="L51" i="20" s="1"/>
  <c r="G50" i="20"/>
  <c r="L50" i="20" s="1"/>
  <c r="G57" i="20"/>
  <c r="L57" i="20" s="1"/>
  <c r="G52" i="20"/>
  <c r="L52" i="20" s="1"/>
  <c r="G49" i="20"/>
  <c r="L49" i="20" s="1"/>
  <c r="F60" i="20"/>
  <c r="G38" i="20"/>
  <c r="L38" i="20" s="1"/>
  <c r="G47" i="20"/>
  <c r="L47" i="20" s="1"/>
  <c r="G59" i="20"/>
  <c r="L59" i="20" s="1"/>
  <c r="J51" i="20"/>
  <c r="G40" i="20"/>
  <c r="L40" i="20" s="1"/>
  <c r="F40" i="20"/>
  <c r="G34" i="20"/>
  <c r="L34" i="20" s="1"/>
  <c r="J55" i="20"/>
  <c r="J57" i="20"/>
  <c r="G42" i="20"/>
  <c r="L42" i="20" s="1"/>
  <c r="F39" i="20"/>
  <c r="G58" i="20"/>
  <c r="L58" i="20" s="1"/>
  <c r="G45" i="20"/>
  <c r="L45" i="20" s="1"/>
  <c r="G48" i="20"/>
  <c r="L48" i="20" s="1"/>
  <c r="G53" i="20"/>
  <c r="L53" i="20" s="1"/>
  <c r="J43" i="20"/>
  <c r="F43" i="20"/>
  <c r="F48" i="20"/>
  <c r="J41" i="20"/>
  <c r="G60" i="20"/>
  <c r="L60" i="20" s="1"/>
  <c r="G41" i="20"/>
  <c r="L41" i="20" s="1"/>
  <c r="G55" i="20"/>
  <c r="L55" i="20" s="1"/>
  <c r="G43" i="20"/>
  <c r="L43" i="20" s="1"/>
  <c r="G39" i="20"/>
  <c r="L39" i="20" s="1"/>
  <c r="J58" i="20"/>
  <c r="J54" i="20"/>
  <c r="G54" i="20"/>
  <c r="L54" i="20" s="1"/>
  <c r="G44" i="20"/>
  <c r="L44" i="20" s="1"/>
  <c r="G56" i="20"/>
  <c r="L56" i="20" s="1"/>
  <c r="F42" i="20"/>
  <c r="F47" i="20"/>
  <c r="F31" i="20"/>
  <c r="G31" i="20"/>
  <c r="L31" i="20" s="1"/>
  <c r="G36" i="20"/>
  <c r="L36" i="20" s="1"/>
  <c r="G37" i="20"/>
  <c r="L37" i="20" s="1"/>
  <c r="G30" i="20"/>
  <c r="L30" i="20" s="1"/>
  <c r="G32" i="20"/>
  <c r="L32" i="20" s="1"/>
  <c r="G33" i="20"/>
  <c r="L33" i="20" s="1"/>
  <c r="F30" i="20"/>
  <c r="G35" i="20"/>
  <c r="L35" i="20" s="1"/>
  <c r="F36" i="20"/>
  <c r="F35" i="20"/>
  <c r="G29" i="20"/>
  <c r="L29" i="20" s="1"/>
  <c r="G11" i="20"/>
  <c r="L11" i="20" s="1"/>
  <c r="B8" i="27"/>
  <c r="A8" i="27"/>
  <c r="F21" i="20"/>
  <c r="F99" i="20"/>
  <c r="F14" i="20"/>
  <c r="K14" i="20" s="1"/>
  <c r="F66" i="20"/>
  <c r="F29" i="20"/>
  <c r="F55" i="20"/>
  <c r="K55" i="20" s="1"/>
  <c r="F44" i="20"/>
  <c r="K44" i="20" s="1"/>
  <c r="F17" i="20"/>
  <c r="K17" i="20" s="1"/>
  <c r="F23" i="20"/>
  <c r="F6" i="20"/>
  <c r="K6" i="20" s="1"/>
  <c r="G6" i="20"/>
  <c r="L6" i="20" s="1"/>
  <c r="G25" i="20"/>
  <c r="L25" i="20" s="1"/>
  <c r="G14" i="20"/>
  <c r="L14" i="20" s="1"/>
  <c r="G17" i="20"/>
  <c r="L17" i="20" s="1"/>
  <c r="F63" i="20"/>
  <c r="F78" i="20"/>
  <c r="F49" i="20"/>
  <c r="K49" i="20" s="1"/>
  <c r="F84" i="20"/>
  <c r="F56" i="20"/>
  <c r="K56" i="20" s="1"/>
  <c r="F24" i="20"/>
  <c r="K24" i="20" s="1"/>
  <c r="F25" i="20"/>
  <c r="K25" i="20" s="1"/>
  <c r="F4" i="20"/>
  <c r="K4" i="20" s="1"/>
  <c r="F97" i="20"/>
  <c r="K97" i="20" s="1"/>
  <c r="G28" i="20"/>
  <c r="L28" i="20" s="1"/>
  <c r="F16" i="20"/>
  <c r="K16" i="20" s="1"/>
  <c r="F58" i="20"/>
  <c r="K58" i="20" s="1"/>
  <c r="F52" i="20"/>
  <c r="K52" i="20" s="1"/>
  <c r="G26" i="20"/>
  <c r="L26" i="20" s="1"/>
  <c r="G24" i="20"/>
  <c r="L24" i="20" s="1"/>
  <c r="F46" i="20"/>
  <c r="K46" i="20" s="1"/>
  <c r="G4" i="20"/>
  <c r="L4" i="20" s="1"/>
  <c r="G10" i="20"/>
  <c r="L10" i="20" s="1"/>
  <c r="G16" i="20"/>
  <c r="L16" i="20" s="1"/>
  <c r="F28" i="20"/>
  <c r="K28" i="20" s="1"/>
  <c r="F20" i="20"/>
  <c r="K20" i="20" s="1"/>
  <c r="G8" i="20"/>
  <c r="L8" i="20" s="1"/>
  <c r="F91" i="20"/>
  <c r="F8" i="20"/>
  <c r="K8" i="20" s="1"/>
  <c r="F26" i="20"/>
  <c r="K26" i="20" s="1"/>
  <c r="F70" i="20"/>
  <c r="F83" i="20"/>
  <c r="K83" i="20" s="1"/>
  <c r="F34" i="20"/>
  <c r="K34" i="20" s="1"/>
  <c r="F22" i="20"/>
  <c r="K22" i="20" s="1"/>
  <c r="G23" i="20"/>
  <c r="L23" i="20" s="1"/>
  <c r="G20" i="20"/>
  <c r="L20" i="20" s="1"/>
  <c r="F10" i="20"/>
  <c r="F18" i="20"/>
  <c r="K18" i="20" s="1"/>
  <c r="F53" i="20"/>
  <c r="K53" i="20" s="1"/>
  <c r="F13" i="20"/>
  <c r="K13" i="20" s="1"/>
  <c r="G27" i="20"/>
  <c r="L27" i="20" s="1"/>
  <c r="G22" i="20"/>
  <c r="L22" i="20" s="1"/>
  <c r="G18" i="20"/>
  <c r="L18" i="20" s="1"/>
  <c r="F15" i="20"/>
  <c r="K15" i="20" s="1"/>
  <c r="G21" i="20"/>
  <c r="L21" i="20" s="1"/>
  <c r="F27" i="20"/>
  <c r="K27" i="20" s="1"/>
  <c r="F88" i="20"/>
  <c r="G15" i="20"/>
  <c r="L15" i="20" s="1"/>
  <c r="F62" i="20"/>
  <c r="K62" i="20" s="1"/>
  <c r="G9" i="20"/>
  <c r="L9" i="20" s="1"/>
  <c r="F7" i="20"/>
  <c r="K7" i="20" s="1"/>
  <c r="F32" i="20"/>
  <c r="K32" i="20" s="1"/>
  <c r="F98" i="20"/>
  <c r="F3" i="20"/>
  <c r="K3" i="20" s="1"/>
  <c r="F79" i="20"/>
  <c r="F38" i="20"/>
  <c r="K38" i="20" s="1"/>
  <c r="F67" i="20"/>
  <c r="K67" i="20" s="1"/>
  <c r="G7" i="20"/>
  <c r="L7" i="20" s="1"/>
  <c r="F41" i="20"/>
  <c r="K41" i="20" s="1"/>
  <c r="G3" i="20"/>
  <c r="L3" i="20" s="1"/>
  <c r="F86" i="20"/>
  <c r="K86" i="20" s="1"/>
  <c r="F57" i="20"/>
  <c r="K57" i="20" s="1"/>
  <c r="F71" i="20"/>
  <c r="K71" i="20" s="1"/>
  <c r="F9" i="20"/>
  <c r="K9" i="20" s="1"/>
  <c r="F54" i="20"/>
  <c r="K54" i="20" s="1"/>
  <c r="F33" i="20"/>
  <c r="K33" i="20" s="1"/>
  <c r="F50" i="20"/>
  <c r="K50" i="20" s="1"/>
  <c r="G12" i="20"/>
  <c r="L12" i="20" s="1"/>
  <c r="F72" i="20"/>
  <c r="K72" i="20" s="1"/>
  <c r="F61" i="20"/>
  <c r="K61" i="20" s="1"/>
  <c r="N61" i="20" s="1"/>
  <c r="F59" i="20"/>
  <c r="K59" i="20" s="1"/>
  <c r="F11" i="20"/>
  <c r="K11" i="20" s="1"/>
  <c r="F19" i="20"/>
  <c r="K19" i="20" s="1"/>
  <c r="F5" i="20"/>
  <c r="F80" i="20"/>
  <c r="K80" i="20" s="1"/>
  <c r="F12" i="20"/>
  <c r="F2" i="20"/>
  <c r="K2" i="20" s="1"/>
  <c r="G19" i="20"/>
  <c r="L19" i="20" s="1"/>
  <c r="F92" i="20"/>
  <c r="K92" i="20" s="1"/>
  <c r="F51" i="20"/>
  <c r="K51" i="20" s="1"/>
  <c r="F82" i="20"/>
  <c r="K82" i="20" s="1"/>
  <c r="F77" i="20"/>
  <c r="K77" i="20" s="1"/>
  <c r="F89" i="20"/>
  <c r="K89" i="20" s="1"/>
  <c r="L2" i="20"/>
  <c r="L5" i="20"/>
  <c r="J20" i="20"/>
  <c r="E94" i="20"/>
  <c r="E95" i="20"/>
  <c r="K95" i="20" s="1"/>
  <c r="E43" i="20"/>
  <c r="E21" i="20"/>
  <c r="E69" i="20"/>
  <c r="E39" i="20"/>
  <c r="E36" i="20"/>
  <c r="E90" i="20"/>
  <c r="E96" i="20"/>
  <c r="E85" i="20"/>
  <c r="E65" i="20"/>
  <c r="K65" i="20" s="1"/>
  <c r="E73" i="20"/>
  <c r="E29" i="20"/>
  <c r="E75" i="20"/>
  <c r="E48" i="20"/>
  <c r="E35" i="20"/>
  <c r="E42" i="20"/>
  <c r="E47" i="20"/>
  <c r="E100" i="20"/>
  <c r="E81" i="20"/>
  <c r="E30" i="20"/>
  <c r="E87" i="20"/>
  <c r="K87" i="20" s="1"/>
  <c r="E31" i="20"/>
  <c r="E74" i="20"/>
  <c r="E40" i="20"/>
  <c r="E45" i="20"/>
  <c r="K45" i="20" s="1"/>
  <c r="E76" i="20"/>
  <c r="E101" i="20"/>
  <c r="E60" i="20"/>
  <c r="E37" i="20"/>
  <c r="E93" i="20"/>
  <c r="E64" i="20"/>
  <c r="E68" i="20"/>
  <c r="E23" i="20"/>
  <c r="J6" i="20"/>
  <c r="J9" i="20"/>
  <c r="J14" i="20"/>
  <c r="J26" i="20"/>
  <c r="J29" i="20"/>
  <c r="J22" i="20"/>
  <c r="J11" i="20"/>
  <c r="J4" i="20"/>
  <c r="J5" i="20"/>
  <c r="J24" i="20"/>
  <c r="J13" i="20"/>
  <c r="J21" i="20"/>
  <c r="J10" i="20"/>
  <c r="J17" i="20"/>
  <c r="J25" i="20"/>
  <c r="J2" i="20"/>
  <c r="D4" i="10"/>
  <c r="N97" i="20" l="1"/>
  <c r="K68" i="20"/>
  <c r="K74" i="20"/>
  <c r="K37" i="20"/>
  <c r="K60" i="20"/>
  <c r="K39" i="20"/>
  <c r="K30" i="20"/>
  <c r="K35" i="20"/>
  <c r="K48" i="20"/>
  <c r="K43" i="20"/>
  <c r="K47" i="20"/>
  <c r="K40" i="20"/>
  <c r="K42" i="20"/>
  <c r="K31" i="20"/>
  <c r="K36" i="20"/>
  <c r="C8" i="27"/>
  <c r="M87" i="20" s="1"/>
  <c r="N87" i="20" s="1"/>
  <c r="K21" i="20"/>
  <c r="K29" i="20"/>
  <c r="K5" i="20"/>
  <c r="K10" i="20"/>
  <c r="K23" i="20"/>
  <c r="K12" i="20"/>
  <c r="D5" i="10"/>
  <c r="M67" i="20" l="1"/>
  <c r="N67" i="20" s="1"/>
  <c r="M82" i="20"/>
  <c r="N82" i="20" s="1"/>
  <c r="M72" i="20"/>
  <c r="N72" i="20" s="1"/>
  <c r="M29" i="20"/>
  <c r="N29" i="20" s="1"/>
  <c r="M80" i="20"/>
  <c r="N80" i="20" s="1"/>
  <c r="M92" i="20"/>
  <c r="N92" i="20" s="1"/>
  <c r="M83" i="20"/>
  <c r="N83" i="20" s="1"/>
  <c r="M68" i="20"/>
  <c r="M71" i="20"/>
  <c r="N71" i="20" s="1"/>
  <c r="M86" i="20"/>
  <c r="N86" i="20" s="1"/>
  <c r="M65" i="20"/>
  <c r="N65" i="20" s="1"/>
  <c r="M95" i="20"/>
  <c r="N95" i="20" s="1"/>
  <c r="M62" i="20"/>
  <c r="N62" i="20" s="1"/>
  <c r="N68" i="20"/>
  <c r="M89" i="20"/>
  <c r="N89" i="20" s="1"/>
  <c r="M74" i="20"/>
  <c r="N74" i="20" s="1"/>
  <c r="M77" i="20"/>
  <c r="N77" i="20" s="1"/>
  <c r="M2" i="20"/>
  <c r="N2" i="20" s="1"/>
  <c r="D8" i="27" a="1"/>
  <c r="D8" i="27" s="1"/>
  <c r="M27" i="20"/>
  <c r="N27" i="20" s="1"/>
  <c r="E8" i="27"/>
  <c r="D2" i="26" s="1"/>
  <c r="M26" i="20"/>
  <c r="N26" i="20" s="1"/>
  <c r="M28" i="20"/>
  <c r="N28" i="20" s="1"/>
  <c r="M43" i="20"/>
  <c r="M57" i="20"/>
  <c r="N57" i="20" s="1"/>
  <c r="M54" i="20"/>
  <c r="N54" i="20" s="1"/>
  <c r="M55" i="20"/>
  <c r="N55" i="20" s="1"/>
  <c r="M23" i="20"/>
  <c r="N23" i="20" s="1"/>
  <c r="M41" i="20"/>
  <c r="N41" i="20" s="1"/>
  <c r="M24" i="20"/>
  <c r="N24" i="20" s="1"/>
  <c r="N40" i="20"/>
  <c r="M59" i="20"/>
  <c r="N59" i="20" s="1"/>
  <c r="M44" i="20"/>
  <c r="N44" i="20" s="1"/>
  <c r="M39" i="20"/>
  <c r="N39" i="20" s="1"/>
  <c r="M30" i="20"/>
  <c r="N30" i="20" s="1"/>
  <c r="M47" i="20"/>
  <c r="N47" i="20" s="1"/>
  <c r="M36" i="20"/>
  <c r="N36" i="20" s="1"/>
  <c r="M51" i="20"/>
  <c r="N51" i="20" s="1"/>
  <c r="M52" i="20"/>
  <c r="N52" i="20" s="1"/>
  <c r="M45" i="20"/>
  <c r="N45" i="20" s="1"/>
  <c r="M56" i="20"/>
  <c r="N56" i="20" s="1"/>
  <c r="M53" i="20"/>
  <c r="N53" i="20" s="1"/>
  <c r="M49" i="20"/>
  <c r="N49" i="20" s="1"/>
  <c r="M38" i="20"/>
  <c r="N38" i="20" s="1"/>
  <c r="M42" i="20"/>
  <c r="N42" i="20" s="1"/>
  <c r="M33" i="20"/>
  <c r="N33" i="20" s="1"/>
  <c r="M37" i="20"/>
  <c r="N37" i="20" s="1"/>
  <c r="M34" i="20"/>
  <c r="N34" i="20" s="1"/>
  <c r="M32" i="20"/>
  <c r="N32" i="20" s="1"/>
  <c r="M31" i="20"/>
  <c r="N31" i="20" s="1"/>
  <c r="M46" i="20"/>
  <c r="N46" i="20" s="1"/>
  <c r="M50" i="20"/>
  <c r="N50" i="20" s="1"/>
  <c r="M35" i="20"/>
  <c r="N35" i="20" s="1"/>
  <c r="M60" i="20"/>
  <c r="N60" i="20" s="1"/>
  <c r="M48" i="20"/>
  <c r="N48" i="20" s="1"/>
  <c r="M40" i="20"/>
  <c r="M25" i="20"/>
  <c r="N25" i="20" s="1"/>
  <c r="N43" i="20"/>
  <c r="M58" i="20"/>
  <c r="N58" i="20" s="1"/>
  <c r="M12" i="20"/>
  <c r="N12" i="20" s="1"/>
  <c r="M13" i="20"/>
  <c r="N13" i="20" s="1"/>
  <c r="M7" i="20"/>
  <c r="N7" i="20" s="1"/>
  <c r="M19" i="20"/>
  <c r="N19" i="20" s="1"/>
  <c r="M3" i="20"/>
  <c r="N3" i="20" s="1"/>
  <c r="M11" i="20"/>
  <c r="N11" i="20" s="1"/>
  <c r="M16" i="20"/>
  <c r="N16" i="20" s="1"/>
  <c r="M6" i="20"/>
  <c r="N6" i="20" s="1"/>
  <c r="M10" i="20"/>
  <c r="N10" i="20" s="1"/>
  <c r="M14" i="20"/>
  <c r="N14" i="20" s="1"/>
  <c r="M20" i="20"/>
  <c r="N20" i="20" s="1"/>
  <c r="M4" i="20"/>
  <c r="N4" i="20" s="1"/>
  <c r="M8" i="20"/>
  <c r="N8" i="20" s="1"/>
  <c r="M15" i="20"/>
  <c r="N15" i="20" s="1"/>
  <c r="M22" i="20"/>
  <c r="N22" i="20" s="1"/>
  <c r="M17" i="20"/>
  <c r="N17" i="20" s="1"/>
  <c r="M9" i="20"/>
  <c r="N9" i="20" s="1"/>
  <c r="M5" i="20"/>
  <c r="N5" i="20" s="1"/>
  <c r="M18" i="20"/>
  <c r="N18" i="20" s="1"/>
  <c r="M21" i="20"/>
  <c r="N21" i="2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Anna Renz</author>
  </authors>
  <commentList>
    <comment ref="J2" authorId="0" shapeId="0" xr:uid="{00000000-0006-0000-0100-000001000000}">
      <text>
        <r>
          <rPr>
            <sz val="9"/>
            <color indexed="81"/>
            <rFont val="Segoe UI"/>
            <family val="2"/>
          </rPr>
          <t xml:space="preserve">changes after how many samples the syringe is cleaned:
-1: cleaning after each sample
-2: cleaning after each second,...
</t>
        </r>
      </text>
    </comment>
    <comment ref="J3" authorId="0" shapeId="0" xr:uid="{00000000-0006-0000-0100-000002000000}">
      <text>
        <r>
          <rPr>
            <sz val="9"/>
            <color indexed="81"/>
            <rFont val="Segoe UI"/>
            <family val="2"/>
          </rPr>
          <t xml:space="preserve">changes the number of times, the syringe is cleaned between to samples:
1: cleaning process is only done once
2: two times, …
</t>
        </r>
      </text>
    </comment>
    <comment ref="J4" authorId="0" shapeId="0" xr:uid="{00000000-0006-0000-0100-000003000000}">
      <text>
        <r>
          <rPr>
            <sz val="9"/>
            <color indexed="81"/>
            <rFont val="Segoe UI"/>
            <family val="2"/>
          </rPr>
          <t>the number of times the syringe is cleaned before the sampling process is started</t>
        </r>
      </text>
    </comment>
    <comment ref="J5" authorId="0" shapeId="0" xr:uid="{00000000-0006-0000-0100-000004000000}">
      <text>
        <r>
          <rPr>
            <sz val="9"/>
            <color indexed="81"/>
            <rFont val="Segoe UI"/>
            <family val="2"/>
          </rPr>
          <t xml:space="preserve">the number of times the syringe is cleaned after the sampling process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Anna Renz</author>
  </authors>
  <commentList>
    <comment ref="B1" authorId="0" shapeId="0" xr:uid="{00000000-0006-0000-0500-000001000000}">
      <text>
        <r>
          <rPr>
            <sz val="9"/>
            <color indexed="81"/>
            <rFont val="Segoe UI"/>
            <family val="2"/>
          </rPr>
          <t xml:space="preserve">counts the collected samples;
sample number is only listed if entry in "sample?" column is true
</t>
        </r>
      </text>
    </comment>
    <comment ref="C1" authorId="0" shapeId="0" xr:uid="{00000000-0006-0000-0500-000002000000}">
      <text>
        <r>
          <rPr>
            <sz val="9"/>
            <color indexed="81"/>
            <rFont val="Segoe UI"/>
            <family val="2"/>
          </rPr>
          <t xml:space="preserve">number of the row (along the x-axis) one  sample is in
</t>
        </r>
      </text>
    </comment>
    <comment ref="D1" authorId="0" shapeId="0" xr:uid="{00000000-0006-0000-0500-000003000000}">
      <text>
        <r>
          <rPr>
            <sz val="9"/>
            <color indexed="81"/>
            <rFont val="Segoe UI"/>
            <family val="2"/>
          </rPr>
          <t>numbers all samples in row ascending in the sequence they are collected, starting from zero</t>
        </r>
      </text>
    </comment>
    <comment ref="E1" authorId="0" shapeId="0" xr:uid="{00000000-0006-0000-0500-000004000000}">
      <text>
        <r>
          <rPr>
            <sz val="9"/>
            <color indexed="81"/>
            <rFont val="Segoe UI"/>
            <family val="2"/>
          </rPr>
          <t xml:space="preserve">x-coordinates of the samples in the rack
</t>
        </r>
      </text>
    </comment>
    <comment ref="F1" authorId="0" shapeId="0" xr:uid="{00000000-0006-0000-0500-000005000000}">
      <text>
        <r>
          <rPr>
            <sz val="9"/>
            <color indexed="81"/>
            <rFont val="Segoe UI"/>
            <family val="2"/>
          </rPr>
          <t xml:space="preserve">y-coordinates of all  samples in the rack
</t>
        </r>
      </text>
    </comment>
    <comment ref="G1" authorId="0" shapeId="0" xr:uid="{00000000-0006-0000-0500-000006000000}">
      <text>
        <r>
          <rPr>
            <sz val="9"/>
            <color indexed="81"/>
            <rFont val="Segoe UI"/>
            <family val="2"/>
          </rPr>
          <t>x-coordinate of each spot on the selected TLC plate(s)</t>
        </r>
        <r>
          <rPr>
            <sz val="9"/>
            <color indexed="81"/>
            <rFont val="Segoe UI"/>
            <family val="2"/>
          </rPr>
          <t xml:space="preserve">
</t>
        </r>
      </text>
    </comment>
    <comment ref="H1" authorId="0" shapeId="0" xr:uid="{00000000-0006-0000-0500-000007000000}">
      <text>
        <r>
          <rPr>
            <sz val="9"/>
            <color indexed="81"/>
            <rFont val="Segoe UI"/>
            <family val="2"/>
          </rPr>
          <t>y-coordinate of each spot on the selected TLC plate(s)</t>
        </r>
      </text>
    </comment>
    <comment ref="I1" authorId="0" shapeId="0" xr:uid="{00000000-0006-0000-0500-000008000000}">
      <text>
        <r>
          <rPr>
            <sz val="9"/>
            <color indexed="81"/>
            <rFont val="Segoe UI"/>
            <family val="2"/>
          </rPr>
          <t>indicates whether one sample is collected or not</t>
        </r>
      </text>
    </comment>
    <comment ref="J1" authorId="0" shapeId="0" xr:uid="{00000000-0006-0000-0500-000009000000}">
      <text>
        <r>
          <rPr>
            <sz val="9"/>
            <color indexed="81"/>
            <rFont val="Segoe UI"/>
            <family val="2"/>
          </rPr>
          <t xml:space="preserve">indicates whether the syringe is cleaned after collecting one sample
</t>
        </r>
      </text>
    </comment>
    <comment ref="K1" authorId="0" shapeId="0" xr:uid="{00000000-0006-0000-0500-00000A000000}">
      <text>
        <r>
          <rPr>
            <sz val="9"/>
            <color indexed="81"/>
            <rFont val="Segoe UI"/>
            <family val="2"/>
          </rPr>
          <t>g-code for movement to each sample in rack</t>
        </r>
      </text>
    </comment>
    <comment ref="L1" authorId="0" shapeId="0" xr:uid="{00000000-0006-0000-0500-00000B000000}">
      <text>
        <r>
          <rPr>
            <sz val="9"/>
            <color indexed="81"/>
            <rFont val="Segoe UI"/>
            <family val="2"/>
          </rPr>
          <t>g-code for movement to each spot on the TLC plate(s)</t>
        </r>
      </text>
    </comment>
    <comment ref="M1" authorId="0" shapeId="0" xr:uid="{00000000-0006-0000-0500-00000C000000}">
      <text>
        <r>
          <rPr>
            <sz val="9"/>
            <color indexed="81"/>
            <rFont val="Segoe UI"/>
            <family val="2"/>
          </rPr>
          <t>g-code for all intermediate cleaning processes</t>
        </r>
      </text>
    </comment>
    <comment ref="N1" authorId="0" shapeId="0" xr:uid="{00000000-0006-0000-0500-00000D000000}">
      <text>
        <r>
          <rPr>
            <sz val="9"/>
            <color indexed="81"/>
            <rFont val="Segoe UI"/>
            <family val="2"/>
          </rPr>
          <t xml:space="preserve">g-code of complete program for each sample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<sst xmlns="http://schemas.openxmlformats.org/spreadsheetml/2006/main" count="515" uniqueCount="273">
  <si>
    <t>rack</t>
  </si>
  <si>
    <t>TLC</t>
  </si>
  <si>
    <t>clean</t>
  </si>
  <si>
    <t>waste1</t>
  </si>
  <si>
    <t>waste2</t>
  </si>
  <si>
    <t>sample?</t>
  </si>
  <si>
    <t>g-code</t>
  </si>
  <si>
    <t>syringe</t>
  </si>
  <si>
    <t>clean?</t>
  </si>
  <si>
    <t>extrusion</t>
  </si>
  <si>
    <t>x</t>
  </si>
  <si>
    <t>y</t>
  </si>
  <si>
    <t>z</t>
  </si>
  <si>
    <t>waste bin</t>
  </si>
  <si>
    <t>positions</t>
  </si>
  <si>
    <t>E</t>
  </si>
  <si>
    <t>number of spots on the first TLC plate</t>
  </si>
  <si>
    <t xml:space="preserve">number of repeats during the washing program </t>
  </si>
  <si>
    <t>number of samples in rack</t>
  </si>
  <si>
    <t xml:space="preserve">sampling order </t>
  </si>
  <si>
    <t>max. feedrate (units/s)</t>
  </si>
  <si>
    <t>Z</t>
  </si>
  <si>
    <r>
      <t>max. acceleration (units/s</t>
    </r>
    <r>
      <rPr>
        <b/>
        <vertAlign val="superscript"/>
        <sz val="11"/>
        <color theme="1"/>
        <rFont val="Calibri"/>
        <family val="2"/>
        <scheme val="minor"/>
      </rPr>
      <t>2</t>
    </r>
    <r>
      <rPr>
        <b/>
        <sz val="11"/>
        <color theme="1"/>
        <rFont val="Calibri"/>
        <family val="2"/>
        <scheme val="minor"/>
      </rPr>
      <t>)</t>
    </r>
  </si>
  <si>
    <t>extruded volume per 1E unit (mL)</t>
  </si>
  <si>
    <t>cleaning after (1=each collected sample, 2=each second, etc.)</t>
  </si>
  <si>
    <t>main</t>
  </si>
  <si>
    <t>spotting</t>
  </si>
  <si>
    <t>stop1</t>
  </si>
  <si>
    <t>stop2</t>
  </si>
  <si>
    <t xml:space="preserve">options for sampling order </t>
  </si>
  <si>
    <t>-</t>
  </si>
  <si>
    <t>number of collected samples</t>
  </si>
  <si>
    <t xml:space="preserve">calibration </t>
  </si>
  <si>
    <t>worksheet</t>
  </si>
  <si>
    <t>function</t>
  </si>
  <si>
    <t>read_me</t>
  </si>
  <si>
    <t>number of extrusions per spot</t>
  </si>
  <si>
    <t>cleaning solution</t>
  </si>
  <si>
    <t>velocity in x- &amp; y-direction</t>
  </si>
  <si>
    <t>velocity in z-direction</t>
  </si>
  <si>
    <t xml:space="preserve"> velocity to fill the syringe during the washing program</t>
  </si>
  <si>
    <t>velocity to empty the syringe</t>
  </si>
  <si>
    <t>velocity to empty the syringe during spotting</t>
  </si>
  <si>
    <t>s-shape, starting at back left corner</t>
  </si>
  <si>
    <t>s-shape, starting at front left corner</t>
  </si>
  <si>
    <t>non alternating, starting at back left corner</t>
  </si>
  <si>
    <t>non alternating, starting at front left corner</t>
  </si>
  <si>
    <t>distance between two samples in the rack in x-direction</t>
  </si>
  <si>
    <t>distance between two samples in the rack in y-direction</t>
  </si>
  <si>
    <t>velocity to fill the syringe in the samples &amp; in the cleaning solution</t>
  </si>
  <si>
    <t>X &amp; Y</t>
  </si>
  <si>
    <t xml:space="preserve">factor that the retraction in the samples is multiplied with to calculate the retraction in the cleaning solution </t>
  </si>
  <si>
    <t>distance between two TLC plates (mm)</t>
  </si>
  <si>
    <t>retraction</t>
  </si>
  <si>
    <t>cleaning process</t>
  </si>
  <si>
    <t>heating on</t>
  </si>
  <si>
    <t>heating off</t>
  </si>
  <si>
    <t>start1</t>
  </si>
  <si>
    <t>start 2</t>
  </si>
  <si>
    <t>No. of 
samples</t>
  </si>
  <si>
    <t>No. of 
spots</t>
  </si>
  <si>
    <t>rack 
x</t>
  </si>
  <si>
    <t>rack 
y</t>
  </si>
  <si>
    <t>TLC 
x</t>
  </si>
  <si>
    <t>TLC 
y</t>
  </si>
  <si>
    <t>cleaning at start</t>
  </si>
  <si>
    <t>cleaning at end</t>
  </si>
  <si>
    <t>cold extrusion</t>
  </si>
  <si>
    <t>distance between spotting points and back edge of a TLC plate (mm)</t>
  </si>
  <si>
    <t>number of repeats of the cleaning process between two samples</t>
  </si>
  <si>
    <t>number of additional cleaning processes at the end of the process</t>
  </si>
  <si>
    <t>temperature of the extrudor that heats up the metal plate (°C)</t>
  </si>
  <si>
    <t>cleaning</t>
  </si>
  <si>
    <t>width of one TLC plate (mm)</t>
  </si>
  <si>
    <t>number of TLC plates that are used</t>
  </si>
  <si>
    <t>intermediate cleaning process</t>
  </si>
  <si>
    <t>washing program</t>
  </si>
  <si>
    <t>waiting time above waste bin after extrusion (ms)</t>
  </si>
  <si>
    <t>washing 
(option: turning heating on at the start)</t>
  </si>
  <si>
    <t>volume extruded on TLC per spot (μL)</t>
  </si>
  <si>
    <t>time between extrusions on the same spot (s)</t>
  </si>
  <si>
    <t>number of samples</t>
  </si>
  <si>
    <t>z-value for</t>
  </si>
  <si>
    <t>sampling</t>
  </si>
  <si>
    <t>movement above all items</t>
  </si>
  <si>
    <t>long side 
(x-direction)</t>
  </si>
  <si>
    <t>short side 
(y-direction)</t>
  </si>
  <si>
    <t>sample front right corner</t>
  </si>
  <si>
    <t>sample in back left corner</t>
  </si>
  <si>
    <t>type of rack</t>
  </si>
  <si>
    <t>selected
rack</t>
  </si>
  <si>
    <t>name of each rack</t>
  </si>
  <si>
    <t>export</t>
  </si>
  <si>
    <t>modify</t>
  </si>
  <si>
    <t>calc1</t>
  </si>
  <si>
    <t>calc3</t>
  </si>
  <si>
    <t>initialize</t>
  </si>
  <si>
    <t>calc2</t>
  </si>
  <si>
    <t>long side 
(y-direction)</t>
  </si>
  <si>
    <t>short side 
(x-direction)</t>
  </si>
  <si>
    <t>name in VBA</t>
  </si>
  <si>
    <t>TLC_number</t>
  </si>
  <si>
    <t>extrusion_per_spot</t>
  </si>
  <si>
    <t>number_of_extrusions</t>
  </si>
  <si>
    <t>v_spotting</t>
  </si>
  <si>
    <t>sampling_number</t>
  </si>
  <si>
    <t>cleaning_number</t>
  </si>
  <si>
    <t>TLC_width</t>
  </si>
  <si>
    <t>distance_spots_TLC_edge</t>
  </si>
  <si>
    <t>time_on_spot</t>
  </si>
  <si>
    <t>distance_TLC</t>
  </si>
  <si>
    <t>partial_extrusion</t>
  </si>
  <si>
    <t>extrusion_waste_bin</t>
  </si>
  <si>
    <t>multiplicator</t>
  </si>
  <si>
    <t>pause_above_waste_bin</t>
  </si>
  <si>
    <t>v_washing</t>
  </si>
  <si>
    <t>repeats_washing</t>
  </si>
  <si>
    <t>v_x_y</t>
  </si>
  <si>
    <t>v_z</t>
  </si>
  <si>
    <t>v_z_spotting</t>
  </si>
  <si>
    <t>feedrate_e</t>
  </si>
  <si>
    <t>feedrate_x_y</t>
  </si>
  <si>
    <t>feedrate_z</t>
  </si>
  <si>
    <t>acceleration_z</t>
  </si>
  <si>
    <t>acceleration_e</t>
  </si>
  <si>
    <t>acceleration_x_y</t>
  </si>
  <si>
    <t>calibration_x</t>
  </si>
  <si>
    <t>calibration_y</t>
  </si>
  <si>
    <t>calibration_z</t>
  </si>
  <si>
    <t>parking_z</t>
  </si>
  <si>
    <t>parking_x</t>
  </si>
  <si>
    <t>parking_y</t>
  </si>
  <si>
    <t>waste_z</t>
  </si>
  <si>
    <t>waste_x</t>
  </si>
  <si>
    <t>waste_y</t>
  </si>
  <si>
    <t>cleaning_z</t>
  </si>
  <si>
    <t>cleaning_x</t>
  </si>
  <si>
    <t>cleaning_y</t>
  </si>
  <si>
    <t>z_min</t>
  </si>
  <si>
    <t>save_settings</t>
  </si>
  <si>
    <t>reset</t>
  </si>
  <si>
    <t>cancel</t>
  </si>
  <si>
    <t>Export_Calibration()</t>
  </si>
  <si>
    <t>Export_Washing()</t>
  </si>
  <si>
    <t>Export_Main_Program()</t>
  </si>
  <si>
    <t>Export_Rack_Positions()</t>
  </si>
  <si>
    <t>calibration.gcode</t>
  </si>
  <si>
    <t>washing.gcode</t>
  </si>
  <si>
    <t>spotting.gcode</t>
  </si>
  <si>
    <t>Open_Advanced_Settings()</t>
  </si>
  <si>
    <t>Open_Export()</t>
  </si>
  <si>
    <t>Open_Modifications()</t>
  </si>
  <si>
    <t>calibration</t>
  </si>
  <si>
    <t>washing</t>
  </si>
  <si>
    <t>rack_positions</t>
  </si>
  <si>
    <t>CheckBox</t>
  </si>
  <si>
    <t>TextBox</t>
  </si>
  <si>
    <t>CommandButton</t>
  </si>
  <si>
    <t>pause_washing</t>
  </si>
  <si>
    <t>v_extrusion</t>
  </si>
  <si>
    <t>rack_type</t>
  </si>
  <si>
    <t>sampling_order</t>
  </si>
  <si>
    <t>pause</t>
  </si>
  <si>
    <t>repeats</t>
  </si>
  <si>
    <t>cleaning_start</t>
  </si>
  <si>
    <t>cleaning_end</t>
  </si>
  <si>
    <t>number of cleaning processes before the sampling process</t>
  </si>
  <si>
    <t>start g-code</t>
  </si>
  <si>
    <t>complete g-code</t>
  </si>
  <si>
    <t>test of all rack/TLC positions without extrusion</t>
  </si>
  <si>
    <t>stop code</t>
  </si>
  <si>
    <t>rack
column</t>
  </si>
  <si>
    <t>rack
row</t>
  </si>
  <si>
    <t>back right corner of TLC plate on the right</t>
  </si>
  <si>
    <t>test.gcode</t>
  </si>
  <si>
    <t>test_rack_positions.gcode</t>
  </si>
  <si>
    <t>change_rack</t>
  </si>
  <si>
    <t>delete_rack</t>
  </si>
  <si>
    <t>new_rack</t>
  </si>
  <si>
    <t>residual volume in the syringe when the middle part of the syringe pump is touching the top part (mL)</t>
  </si>
  <si>
    <t>number of samples that are collected in test of sampling program</t>
  </si>
  <si>
    <t>time on spot after each extrusion (ms)</t>
  </si>
  <si>
    <t>parking position of the z-axis</t>
  </si>
  <si>
    <t>volume that is additionally retracted in sampled &amp; extruded into the  waste bin (E units)</t>
  </si>
  <si>
    <t>E-value needed to fill the syringe up to the end of the scale (relative E units)</t>
  </si>
  <si>
    <t>retraction in sample (to fill syringe) (E units)</t>
  </si>
  <si>
    <t>extrusion on TLC per spot (E units)</t>
  </si>
  <si>
    <t>max. value of the factor that is  used to calculate the retraction in cleaning solution</t>
  </si>
  <si>
    <t>retraction in cleaning solution (E units)</t>
  </si>
  <si>
    <t>ComboBox</t>
  </si>
  <si>
    <t>OptionButton</t>
  </si>
  <si>
    <t>temperature</t>
  </si>
  <si>
    <t>modifications</t>
  </si>
  <si>
    <t>type</t>
  </si>
  <si>
    <t>Export_Test()</t>
  </si>
  <si>
    <t>test</t>
  </si>
  <si>
    <t>sampling_test</t>
  </si>
  <si>
    <t>residual_volume</t>
  </si>
  <si>
    <t>syringe_volume</t>
  </si>
  <si>
    <t>E_max</t>
  </si>
  <si>
    <t>v_retraction</t>
  </si>
  <si>
    <t>advanced settings</t>
  </si>
  <si>
    <t>rack_name</t>
  </si>
  <si>
    <t>rack_long</t>
  </si>
  <si>
    <t>rack_short</t>
  </si>
  <si>
    <t>rack1_x</t>
  </si>
  <si>
    <t>rack1_y</t>
  </si>
  <si>
    <t>rack1_z</t>
  </si>
  <si>
    <t>rack2_x</t>
  </si>
  <si>
    <t>rack2_y</t>
  </si>
  <si>
    <t>z_min_rack</t>
  </si>
  <si>
    <t>new rack</t>
  </si>
  <si>
    <t>rack settings</t>
  </si>
  <si>
    <t>delete rack</t>
  </si>
  <si>
    <t>Open_Rack_Settings()</t>
  </si>
  <si>
    <t>Open_Delete_Rack()</t>
  </si>
  <si>
    <t>Open_Add_Rack()</t>
  </si>
  <si>
    <t>open_user_interface</t>
  </si>
  <si>
    <t>name of new file</t>
  </si>
  <si>
    <t>create_files</t>
  </si>
  <si>
    <t>wait for 
temperature</t>
  </si>
  <si>
    <t>v_washing2</t>
  </si>
  <si>
    <t xml:space="preserve">max. value of extraction in sample </t>
  </si>
  <si>
    <t xml:space="preserve">washing 
</t>
  </si>
  <si>
    <t>7x4 rack with medium tubes</t>
  </si>
  <si>
    <t>7x4 rack with large tubes</t>
  </si>
  <si>
    <t>7x3 rack with large tubes</t>
  </si>
  <si>
    <t>7x3 rack with small/ medium tubes</t>
  </si>
  <si>
    <t>sound at the end</t>
  </si>
  <si>
    <t>The parameters in this file are calculated from other parameters. Therefore, they should only be changed if the basic structure of the g-code has to be changed.</t>
  </si>
  <si>
    <t>In this worksheet, the g-code for the individual steps of the sampling program is calculated. Modifications should only be made if the basic structure of the g-code has to be changed.</t>
  </si>
  <si>
    <t>waiting time to fill syringe during washing program (s)</t>
  </si>
  <si>
    <t>labels</t>
  </si>
  <si>
    <t>velocitys (units/s)</t>
  </si>
  <si>
    <t>options for boolean values</t>
  </si>
  <si>
    <t>Heating_True, Heating_False</t>
  </si>
  <si>
    <t>name(s) in VBA</t>
  </si>
  <si>
    <t>Washing_True, Washing_False</t>
  </si>
  <si>
    <t>sound_true, sound_false</t>
  </si>
  <si>
    <t>number_of_samples</t>
  </si>
  <si>
    <t>max_extrusios</t>
  </si>
  <si>
    <t>current worksheet</t>
  </si>
  <si>
    <t>current row number</t>
  </si>
  <si>
    <t>initial worksheet of cell</t>
  </si>
  <si>
    <r>
      <t xml:space="preserve">rack: 
      </t>
    </r>
    <r>
      <rPr>
        <i/>
        <sz val="11"/>
        <rFont val="Calibri"/>
        <family val="2"/>
        <scheme val="minor"/>
      </rPr>
      <t>values of calc3!K2:K101</t>
    </r>
    <r>
      <rPr>
        <sz val="11"/>
        <rFont val="Calibri"/>
        <family val="2"/>
        <scheme val="minor"/>
      </rPr>
      <t xml:space="preserve">
TLC: 
      </t>
    </r>
    <r>
      <rPr>
        <i/>
        <sz val="11"/>
        <rFont val="Calibri"/>
        <family val="2"/>
        <scheme val="minor"/>
      </rPr>
      <t>values of calc3!L2:L101</t>
    </r>
  </si>
  <si>
    <r>
      <rPr>
        <sz val="11"/>
        <rFont val="Calibri"/>
        <family val="2"/>
        <scheme val="minor"/>
      </rPr>
      <t>spotting of all samples:</t>
    </r>
    <r>
      <rPr>
        <i/>
        <sz val="11"/>
        <rFont val="Calibri"/>
        <family val="2"/>
        <scheme val="minor"/>
      </rPr>
      <t xml:space="preserve">
      values of calc3!N2:N101
</t>
    </r>
    <r>
      <rPr>
        <sz val="11"/>
        <rFont val="Calibri"/>
        <family val="2"/>
        <scheme val="minor"/>
      </rPr>
      <t xml:space="preserve">test with two samples: </t>
    </r>
    <r>
      <rPr>
        <i/>
        <sz val="11"/>
        <rFont val="Calibri"/>
        <family val="2"/>
        <scheme val="minor"/>
      </rPr>
      <t xml:space="preserve">
        values of calc3!LN2:N3</t>
    </r>
  </si>
  <si>
    <t>spotting
program</t>
  </si>
  <si>
    <t>current column number</t>
  </si>
  <si>
    <t>Heating of the TLC plates during the spotting programm?</t>
  </si>
  <si>
    <t>Include washing program in spotting program?</t>
  </si>
  <si>
    <t>Acoustic signal once the spotting progam is finished?</t>
  </si>
  <si>
    <t>min. height for movement above TLC holder, cleaning solution &amp; waste bin</t>
  </si>
  <si>
    <t>calibration point (Screw in the front left corner of the TLC holder)</t>
  </si>
  <si>
    <t>distance to TLC plates at which velocity is decreased (z-units)</t>
  </si>
  <si>
    <t xml:space="preserve"> nominal volume of the syringe (mL)</t>
  </si>
  <si>
    <t>volume that is additionally retracted &amp; extruded back into the sample to compensate clearance between components (E-units)</t>
  </si>
  <si>
    <t>reduced velocity in z-direction for spotting on TLC plates</t>
  </si>
  <si>
    <t>velocity to empty the syringe during the washing program</t>
  </si>
  <si>
    <t>This files contains the names of all parameters used in the user interfaces and their references to cells in the Excel file. If cells are moved in the file, this list can help to reset the correct references.</t>
  </si>
  <si>
    <r>
      <t>This file contains short g-code segments that are used to generate the g-code in the files "</t>
    </r>
    <r>
      <rPr>
        <i/>
        <sz val="11"/>
        <color theme="1"/>
        <rFont val="Calibri"/>
        <family val="2"/>
        <scheme val="minor"/>
      </rPr>
      <t>calc3</t>
    </r>
    <r>
      <rPr>
        <sz val="11"/>
        <color theme="1"/>
        <rFont val="Calibri"/>
        <family val="2"/>
        <scheme val="minor"/>
      </rPr>
      <t>" and "</t>
    </r>
    <r>
      <rPr>
        <i/>
        <sz val="11"/>
        <color theme="1"/>
        <rFont val="Calibri"/>
        <family val="2"/>
        <scheme val="minor"/>
      </rPr>
      <t>export</t>
    </r>
    <r>
      <rPr>
        <sz val="11"/>
        <color theme="1"/>
        <rFont val="Calibri"/>
        <family val="2"/>
        <scheme val="minor"/>
      </rPr>
      <t>".</t>
    </r>
  </si>
  <si>
    <t xml:space="preserve">The parameters in this worksheet can be changed to adapt the g-code to different rack sizes or different user preferences. </t>
  </si>
  <si>
    <t>The parameters in this worksheet can be changed to adapt the g-code to new set-ups. After the initial calibration, these parameters only have to be altered if the set-up is changed.</t>
  </si>
  <si>
    <r>
      <t xml:space="preserve">This Excel file can generate the relevant g-code files for the TLC robot if a decimal point is selected as the decimal separator in the operating system and in Excel. 
If </t>
    </r>
    <r>
      <rPr>
        <b/>
        <sz val="11"/>
        <rFont val="Calibri"/>
        <family val="2"/>
        <scheme val="minor"/>
      </rPr>
      <t>all macros are activated</t>
    </r>
    <r>
      <rPr>
        <sz val="11"/>
        <rFont val="Calibri"/>
        <family val="2"/>
        <scheme val="minor"/>
      </rPr>
      <t>, the only the three buttons in this worksheet are required to generate all relevant g-code files, as clicking on them opens different user interfaces. After clicking the "</t>
    </r>
    <r>
      <rPr>
        <i/>
        <sz val="11"/>
        <rFont val="Calibri"/>
        <family val="2"/>
        <scheme val="minor"/>
      </rPr>
      <t>Modify g-code</t>
    </r>
    <r>
      <rPr>
        <sz val="11"/>
        <rFont val="Calibri"/>
        <family val="2"/>
        <scheme val="minor"/>
      </rPr>
      <t>" button, several parameters can be changed, for example, to generate the g-code for different rack sizes. If the "Advanced Settings" button is clicked, a new set-up for the TLC robot can be calibrated. Finally, the g-code files can be exported after clicking the button  "</t>
    </r>
    <r>
      <rPr>
        <i/>
        <sz val="11"/>
        <rFont val="Calibri"/>
        <family val="2"/>
        <scheme val="minor"/>
      </rPr>
      <t>Export g-code</t>
    </r>
    <r>
      <rPr>
        <sz val="11"/>
        <rFont val="Calibri"/>
        <family val="2"/>
        <scheme val="minor"/>
      </rPr>
      <t xml:space="preserve">". 
If </t>
    </r>
    <r>
      <rPr>
        <b/>
        <sz val="11"/>
        <rFont val="Calibri"/>
        <family val="2"/>
        <scheme val="minor"/>
      </rPr>
      <t>macros are deactivated</t>
    </r>
    <r>
      <rPr>
        <sz val="11"/>
        <rFont val="Calibri"/>
        <family val="2"/>
        <scheme val="minor"/>
      </rPr>
      <t>, the parameters can be changed in the worksheet "</t>
    </r>
    <r>
      <rPr>
        <i/>
        <sz val="11"/>
        <rFont val="Calibri"/>
        <family val="2"/>
        <scheme val="minor"/>
      </rPr>
      <t>modify</t>
    </r>
    <r>
      <rPr>
        <sz val="11"/>
        <rFont val="Calibri"/>
        <family val="2"/>
        <scheme val="minor"/>
      </rPr>
      <t>" and "</t>
    </r>
    <r>
      <rPr>
        <i/>
        <sz val="11"/>
        <rFont val="Calibri"/>
        <family val="2"/>
        <scheme val="minor"/>
      </rPr>
      <t>initialize</t>
    </r>
    <r>
      <rPr>
        <sz val="11"/>
        <rFont val="Calibri"/>
        <family val="2"/>
        <scheme val="minor"/>
      </rPr>
      <t>" and the g-code can be copied from the worksheets "</t>
    </r>
    <r>
      <rPr>
        <i/>
        <sz val="11"/>
        <rFont val="Calibri"/>
        <family val="2"/>
        <scheme val="minor"/>
      </rPr>
      <t>export</t>
    </r>
    <r>
      <rPr>
        <sz val="11"/>
        <rFont val="Calibri"/>
        <family val="2"/>
        <scheme val="minor"/>
      </rPr>
      <t>" and "calc3".</t>
    </r>
  </si>
  <si>
    <t>The g-code for different processes is calculated in this file. Modifications should only be made if the basic structure of the g-code has to be changed. To create a new g-code file without macros, copy the relevant cells into a new editor file, remove the quotation marks, and save the file as ".gcode".</t>
  </si>
  <si>
    <t>50</t>
  </si>
  <si>
    <t>7</t>
  </si>
  <si>
    <t>4</t>
  </si>
  <si>
    <t>0</t>
  </si>
  <si>
    <t>295</t>
  </si>
  <si>
    <t>121,5</t>
  </si>
  <si>
    <t>102</t>
  </si>
  <si>
    <t>0,05</t>
  </si>
  <si>
    <t>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</si>
</sst>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font>
      <sz val="11"/>
      <color theme="1"/>
      <name val="Calibri"/>
      <family val="2"/>
      <scheme val="minor"/>
    </font>
    <font>
      <b/>
      <sz val="11"/>
      <color theme="1"/>
      <name val="Calibri"/>
      <family val="2"/>
      <scheme val="minor"/>
    </font>
    <font>
      <sz val="9"/>
      <color indexed="81"/>
      <name val="Segoe UI"/>
      <family val="2"/>
    </font>
    <font>
      <sz val="11"/>
      <name val="Calibri"/>
      <family val="2"/>
      <scheme val="minor"/>
    </font>
    <font>
      <b/>
      <vertAlign val="superscript"/>
      <sz val="11"/>
      <color theme="1"/>
      <name val="Calibri"/>
      <family val="2"/>
      <scheme val="minor"/>
    </font>
    <font>
      <b/>
      <sz val="11"/>
      <name val="Calibri"/>
      <family val="2"/>
      <scheme val="minor"/>
    </font>
    <font>
      <i/>
      <sz val="11"/>
      <color theme="1"/>
      <name val="Calibri"/>
      <family val="2"/>
      <scheme val="minor"/>
    </font>
    <font>
      <sz val="11"/>
      <color rgb="FF00B0F0"/>
      <name val="Calibri"/>
      <family val="2"/>
      <scheme val="minor"/>
    </font>
    <font>
      <sz val="11"/>
      <color rgb="FF0070C0"/>
      <name val="Calibri"/>
      <family val="2"/>
      <scheme val="minor"/>
    </font>
    <font>
      <sz val="8"/>
      <name val="Calibri"/>
      <family val="2"/>
      <scheme val="minor"/>
    </font>
    <font>
      <sz val="9"/>
      <color rgb="FF232323"/>
      <name val="Inherit"/>
    </font>
    <font>
      <i/>
      <sz val="11"/>
      <name val="Calibri"/>
      <family val="2"/>
      <scheme val="minor"/>
    </font>
    <font>
      <sz val="11"/>
      <color rgb="FFFF0000"/>
      <name val="Calibri"/>
      <family val="2"/>
      <scheme val="minor"/>
    </font>
  </fonts>
  <fills count="10">
    <fill>
      <patternFill patternType="none"/>
    </fill>
    <fill>
      <patternFill patternType="gray125"/>
    </fill>
    <fill>
      <patternFill patternType="solid">
        <fgColor theme="2" tint="-0.249977111117893"/>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s>
  <cellStyleXfs count="1">
    <xf numFmtId="0" fontId="0" fillId="0" borderId="0"/>
  </cellStyleXfs>
  <cellXfs count="127">
    <xf numFmtId="0" fontId="0" fillId="0" borderId="0" xfId="0"/>
    <xf numFmtId="0" fontId="0" fillId="0" borderId="0" xfId="0" applyAlignment="1">
      <alignment wrapText="1"/>
    </xf>
    <xf numFmtId="0" fontId="1" fillId="0" borderId="0" xfId="0" applyFont="1"/>
    <xf numFmtId="0" fontId="0" fillId="0" borderId="0" xfId="0" applyAlignment="1">
      <alignment horizontal="center"/>
    </xf>
    <xf numFmtId="0" fontId="0" fillId="0" borderId="0" xfId="0" applyAlignment="1">
      <alignment horizontal="center" vertical="center" wrapText="1"/>
    </xf>
    <xf numFmtId="0" fontId="0" fillId="0" borderId="0" xfId="0" applyAlignment="1">
      <alignment horizontal="center" vertical="center"/>
    </xf>
    <xf numFmtId="0" fontId="0" fillId="6" borderId="1" xfId="0" applyFill="1" applyBorder="1" applyAlignment="1">
      <alignment horizontal="center" vertical="center" wrapText="1"/>
    </xf>
    <xf numFmtId="0" fontId="1" fillId="6" borderId="1" xfId="0" applyFont="1" applyFill="1" applyBorder="1" applyAlignment="1">
      <alignment horizontal="center" vertical="center" wrapText="1"/>
    </xf>
    <xf numFmtId="0" fontId="0" fillId="3" borderId="1" xfId="0" applyFill="1" applyBorder="1" applyAlignment="1">
      <alignment vertical="center" wrapText="1"/>
    </xf>
    <xf numFmtId="0" fontId="1" fillId="5" borderId="1" xfId="0" applyFont="1" applyFill="1" applyBorder="1" applyAlignment="1">
      <alignment vertical="center"/>
    </xf>
    <xf numFmtId="0" fontId="1" fillId="5" borderId="1" xfId="0" applyFont="1" applyFill="1" applyBorder="1"/>
    <xf numFmtId="0" fontId="1" fillId="3" borderId="1" xfId="0" applyFont="1" applyFill="1" applyBorder="1" applyAlignment="1">
      <alignment vertical="center"/>
    </xf>
    <xf numFmtId="0" fontId="0" fillId="5" borderId="1" xfId="0" applyFill="1" applyBorder="1" applyAlignment="1">
      <alignment vertical="center" wrapText="1"/>
    </xf>
    <xf numFmtId="0" fontId="3" fillId="4" borderId="1" xfId="0" applyFont="1" applyFill="1" applyBorder="1" applyAlignment="1">
      <alignment horizontal="center" vertical="center" wrapText="1"/>
    </xf>
    <xf numFmtId="0" fontId="0" fillId="6" borderId="7" xfId="0" applyFill="1" applyBorder="1" applyAlignment="1">
      <alignment horizontal="center" vertical="center" wrapText="1"/>
    </xf>
    <xf numFmtId="0" fontId="1" fillId="6" borderId="3" xfId="0" applyFont="1" applyFill="1" applyBorder="1" applyAlignment="1">
      <alignment horizontal="center" vertical="center" wrapText="1"/>
    </xf>
    <xf numFmtId="0" fontId="0" fillId="6" borderId="3" xfId="0" applyFill="1" applyBorder="1" applyAlignment="1">
      <alignment horizontal="center" vertical="center" wrapText="1"/>
    </xf>
    <xf numFmtId="0" fontId="0" fillId="6" borderId="6" xfId="0" applyFill="1" applyBorder="1" applyAlignment="1">
      <alignment horizontal="center" vertical="center" wrapText="1"/>
    </xf>
    <xf numFmtId="0" fontId="0" fillId="4" borderId="1" xfId="0" applyFill="1" applyBorder="1" applyAlignment="1">
      <alignment horizontal="center" vertical="center" wrapText="1"/>
    </xf>
    <xf numFmtId="0" fontId="3" fillId="6" borderId="1" xfId="0" applyFont="1" applyFill="1" applyBorder="1"/>
    <xf numFmtId="0" fontId="3" fillId="4" borderId="1" xfId="0" applyFont="1" applyFill="1" applyBorder="1" applyAlignment="1">
      <alignment horizontal="left" vertical="top" wrapText="1"/>
    </xf>
    <xf numFmtId="0" fontId="5" fillId="6" borderId="1" xfId="0" applyFont="1" applyFill="1" applyBorder="1" applyAlignment="1">
      <alignment wrapText="1"/>
    </xf>
    <xf numFmtId="0" fontId="5" fillId="4" borderId="1" xfId="0" applyFont="1" applyFill="1" applyBorder="1"/>
    <xf numFmtId="0" fontId="3" fillId="4" borderId="1" xfId="0" applyFont="1" applyFill="1" applyBorder="1"/>
    <xf numFmtId="0" fontId="3" fillId="7" borderId="1" xfId="0" applyFont="1" applyFill="1" applyBorder="1" applyAlignment="1">
      <alignment horizontal="left" vertical="center" wrapText="1"/>
    </xf>
    <xf numFmtId="0" fontId="3" fillId="4" borderId="1" xfId="0" applyFont="1" applyFill="1" applyBorder="1" applyAlignment="1">
      <alignment horizontal="left" vertical="center" wrapText="1"/>
    </xf>
    <xf numFmtId="0" fontId="1" fillId="7" borderId="1" xfId="0" applyFont="1" applyFill="1" applyBorder="1" applyAlignment="1">
      <alignment horizontal="center" vertical="center" wrapText="1"/>
    </xf>
    <xf numFmtId="0" fontId="0" fillId="7" borderId="1" xfId="0" applyFill="1" applyBorder="1" applyAlignment="1">
      <alignment horizontal="center" vertical="center" wrapText="1"/>
    </xf>
    <xf numFmtId="0" fontId="0" fillId="7" borderId="1" xfId="0" applyFill="1" applyBorder="1" applyAlignment="1">
      <alignment horizontal="center" vertical="center"/>
    </xf>
    <xf numFmtId="0" fontId="1" fillId="7" borderId="1" xfId="0" applyFont="1" applyFill="1" applyBorder="1" applyAlignment="1">
      <alignment horizontal="center" vertical="center"/>
    </xf>
    <xf numFmtId="0" fontId="3" fillId="7" borderId="1" xfId="0" applyFont="1" applyFill="1" applyBorder="1" applyAlignment="1">
      <alignment horizontal="center" vertical="center" wrapText="1"/>
    </xf>
    <xf numFmtId="0" fontId="3" fillId="7" borderId="1" xfId="0" applyFont="1" applyFill="1" applyBorder="1" applyAlignment="1">
      <alignment horizontal="center" vertical="center"/>
    </xf>
    <xf numFmtId="0" fontId="0" fillId="4" borderId="1" xfId="0" applyFill="1" applyBorder="1" applyAlignment="1">
      <alignment wrapText="1"/>
    </xf>
    <xf numFmtId="0" fontId="0" fillId="4" borderId="1" xfId="0" applyFill="1" applyBorder="1" applyAlignment="1">
      <alignment horizontal="left" vertical="center" wrapText="1"/>
    </xf>
    <xf numFmtId="0" fontId="3" fillId="0" borderId="0" xfId="0" applyFont="1" applyAlignment="1">
      <alignment horizontal="center" vertical="center" wrapText="1"/>
    </xf>
    <xf numFmtId="0" fontId="10" fillId="0" borderId="0" xfId="0" applyFont="1" applyAlignment="1">
      <alignment horizontal="left" vertical="center" indent="1"/>
    </xf>
    <xf numFmtId="0" fontId="0" fillId="4" borderId="2" xfId="0" applyFill="1" applyBorder="1" applyAlignment="1">
      <alignment horizontal="left" vertical="center" wrapText="1"/>
    </xf>
    <xf numFmtId="0" fontId="0" fillId="9" borderId="1" xfId="0" applyFill="1" applyBorder="1" applyAlignment="1">
      <alignment vertical="center" wrapText="1"/>
    </xf>
    <xf numFmtId="0" fontId="7" fillId="0" borderId="0" xfId="0" applyFont="1" applyAlignment="1">
      <alignment horizontal="center" vertical="center"/>
    </xf>
    <xf numFmtId="0" fontId="3" fillId="8" borderId="1" xfId="0" applyFont="1" applyFill="1" applyBorder="1" applyAlignment="1">
      <alignment horizontal="center" vertical="center"/>
    </xf>
    <xf numFmtId="0" fontId="1" fillId="7" borderId="1" xfId="0" applyFont="1" applyFill="1" applyBorder="1"/>
    <xf numFmtId="0" fontId="3" fillId="4" borderId="1" xfId="0" applyFont="1" applyFill="1" applyBorder="1" applyAlignment="1">
      <alignment vertical="top" wrapText="1"/>
    </xf>
    <xf numFmtId="0" fontId="3" fillId="4" borderId="1" xfId="0" applyFont="1" applyFill="1" applyBorder="1" applyAlignment="1">
      <alignment wrapText="1"/>
    </xf>
    <xf numFmtId="0" fontId="5" fillId="9" borderId="1" xfId="0" applyFont="1" applyFill="1" applyBorder="1" applyAlignment="1">
      <alignment wrapText="1"/>
    </xf>
    <xf numFmtId="0" fontId="3" fillId="9" borderId="1" xfId="0" applyFont="1" applyFill="1" applyBorder="1"/>
    <xf numFmtId="0" fontId="5" fillId="7" borderId="1" xfId="0" applyFont="1" applyFill="1" applyBorder="1" applyAlignment="1">
      <alignment horizontal="center" vertical="center" wrapText="1"/>
    </xf>
    <xf numFmtId="0" fontId="0" fillId="4" borderId="8" xfId="0" applyFill="1" applyBorder="1" applyAlignment="1">
      <alignment horizontal="center" vertical="center" wrapText="1"/>
    </xf>
    <xf numFmtId="0" fontId="1" fillId="4" borderId="1" xfId="0" applyFont="1" applyFill="1" applyBorder="1" applyAlignment="1">
      <alignment horizontal="center" vertical="center" wrapText="1"/>
    </xf>
    <xf numFmtId="0" fontId="3" fillId="4" borderId="0" xfId="0" applyFont="1" applyFill="1" applyAlignment="1">
      <alignment horizontal="center" vertical="center" wrapText="1"/>
    </xf>
    <xf numFmtId="0" fontId="0" fillId="4" borderId="8" xfId="0" applyFill="1" applyBorder="1" applyAlignment="1">
      <alignment wrapText="1"/>
    </xf>
    <xf numFmtId="0" fontId="0" fillId="4" borderId="1" xfId="0" applyFill="1" applyBorder="1"/>
    <xf numFmtId="0" fontId="0" fillId="2" borderId="1" xfId="0" applyFill="1" applyBorder="1" applyAlignment="1">
      <alignment wrapText="1"/>
    </xf>
    <xf numFmtId="0" fontId="1" fillId="2" borderId="1" xfId="0" applyFont="1" applyFill="1" applyBorder="1" applyAlignment="1">
      <alignment horizontal="center" vertical="center" wrapText="1"/>
    </xf>
    <xf numFmtId="0" fontId="1" fillId="2" borderId="1" xfId="0" applyFont="1" applyFill="1" applyBorder="1" applyAlignment="1">
      <alignment horizontal="center" vertical="center"/>
    </xf>
    <xf numFmtId="0" fontId="0" fillId="2" borderId="1" xfId="0" applyFill="1" applyBorder="1"/>
    <xf numFmtId="0" fontId="1" fillId="4" borderId="1" xfId="0" applyFont="1" applyFill="1" applyBorder="1" applyAlignment="1">
      <alignment horizontal="center" vertical="center"/>
    </xf>
    <xf numFmtId="0" fontId="5" fillId="9" borderId="1" xfId="0" applyFont="1" applyFill="1" applyBorder="1" applyAlignment="1">
      <alignment vertical="center"/>
    </xf>
    <xf numFmtId="0" fontId="5" fillId="3" borderId="1" xfId="0" applyFont="1" applyFill="1" applyBorder="1" applyAlignment="1">
      <alignment vertical="center"/>
    </xf>
    <xf numFmtId="2" fontId="3" fillId="7" borderId="1" xfId="0" applyNumberFormat="1" applyFont="1" applyFill="1" applyBorder="1" applyAlignment="1">
      <alignment horizontal="center" vertical="center" wrapText="1"/>
    </xf>
    <xf numFmtId="2" fontId="0" fillId="7" borderId="1" xfId="0" applyNumberFormat="1" applyFill="1" applyBorder="1" applyAlignment="1">
      <alignment horizontal="center" vertical="center" wrapText="1"/>
    </xf>
    <xf numFmtId="2" fontId="3" fillId="7" borderId="1" xfId="0" applyNumberFormat="1" applyFont="1" applyFill="1" applyBorder="1" applyAlignment="1">
      <alignment horizontal="center" vertical="center"/>
    </xf>
    <xf numFmtId="2" fontId="0" fillId="4" borderId="1" xfId="0" applyNumberFormat="1" applyFill="1" applyBorder="1" applyAlignment="1">
      <alignment horizontal="center" vertical="center" wrapText="1"/>
    </xf>
    <xf numFmtId="2" fontId="3" fillId="4" borderId="1" xfId="0" applyNumberFormat="1" applyFont="1" applyFill="1" applyBorder="1" applyAlignment="1">
      <alignment horizontal="center" vertical="center" wrapText="1"/>
    </xf>
    <xf numFmtId="2" fontId="0" fillId="4" borderId="1" xfId="0" applyNumberFormat="1" applyFill="1" applyBorder="1" applyAlignment="1">
      <alignment wrapText="1"/>
    </xf>
    <xf numFmtId="0" fontId="0" fillId="4" borderId="2" xfId="0" applyFill="1" applyBorder="1" applyAlignment="1">
      <alignment horizontal="center" vertical="center"/>
    </xf>
    <xf numFmtId="0" fontId="3" fillId="4" borderId="1" xfId="0" applyFont="1" applyFill="1" applyBorder="1" applyAlignment="1">
      <alignment horizontal="center" vertical="center"/>
    </xf>
    <xf numFmtId="0" fontId="3" fillId="3" borderId="1" xfId="0" applyFont="1" applyFill="1" applyBorder="1" applyAlignment="1">
      <alignment vertical="center" wrapText="1"/>
    </xf>
    <xf numFmtId="0" fontId="5" fillId="4" borderId="1" xfId="0" applyFont="1" applyFill="1" applyBorder="1" applyAlignment="1">
      <alignment wrapText="1"/>
    </xf>
    <xf numFmtId="0" fontId="5" fillId="7" borderId="1" xfId="0" applyFont="1" applyFill="1" applyBorder="1" applyAlignment="1">
      <alignment wrapText="1"/>
    </xf>
    <xf numFmtId="0" fontId="3" fillId="7" borderId="1" xfId="0" applyFont="1" applyFill="1" applyBorder="1"/>
    <xf numFmtId="0" fontId="5" fillId="7" borderId="1" xfId="0" applyFont="1" applyFill="1" applyBorder="1"/>
    <xf numFmtId="0" fontId="3" fillId="7" borderId="1" xfId="0" applyFont="1" applyFill="1" applyBorder="1" applyAlignment="1">
      <alignment horizontal="left" vertical="top" wrapText="1"/>
    </xf>
    <xf numFmtId="3" fontId="0" fillId="7" borderId="1" xfId="0" applyNumberFormat="1" applyFill="1" applyBorder="1" applyAlignment="1">
      <alignment horizontal="center" vertical="center" wrapText="1"/>
    </xf>
    <xf numFmtId="0" fontId="11" fillId="4" borderId="1" xfId="0" applyFont="1" applyFill="1" applyBorder="1" applyAlignment="1">
      <alignment vertical="top" wrapText="1"/>
    </xf>
    <xf numFmtId="0" fontId="0" fillId="0" borderId="0" xfId="0" applyAlignment="1">
      <alignment vertical="top"/>
    </xf>
    <xf numFmtId="0" fontId="5" fillId="4" borderId="1" xfId="0" applyFont="1" applyFill="1" applyBorder="1" applyAlignment="1">
      <alignment horizontal="left" vertical="top"/>
    </xf>
    <xf numFmtId="0" fontId="3" fillId="7" borderId="1" xfId="0" applyFont="1" applyFill="1" applyBorder="1" applyAlignment="1">
      <alignment vertical="top" wrapText="1"/>
    </xf>
    <xf numFmtId="0" fontId="1" fillId="4" borderId="1" xfId="0" applyFont="1" applyFill="1" applyBorder="1" applyAlignment="1">
      <alignment horizontal="left" vertical="top"/>
    </xf>
    <xf numFmtId="0" fontId="3" fillId="0" borderId="0" xfId="0" applyFont="1" applyAlignment="1">
      <alignment horizontal="left" vertical="top" wrapText="1"/>
    </xf>
    <xf numFmtId="0" fontId="8" fillId="0" borderId="0" xfId="0" applyFont="1" applyAlignment="1">
      <alignment horizontal="left" vertical="top" wrapText="1"/>
    </xf>
    <xf numFmtId="0" fontId="5" fillId="7" borderId="1" xfId="0" applyFont="1" applyFill="1" applyBorder="1" applyAlignment="1">
      <alignment horizontal="left" vertical="top" wrapText="1"/>
    </xf>
    <xf numFmtId="0" fontId="1" fillId="7" borderId="1" xfId="0" applyFont="1" applyFill="1" applyBorder="1" applyAlignment="1">
      <alignment horizontal="left" vertical="top"/>
    </xf>
    <xf numFmtId="0" fontId="5" fillId="7" borderId="1" xfId="0" applyFont="1" applyFill="1" applyBorder="1" applyAlignment="1">
      <alignment horizontal="left" vertical="top"/>
    </xf>
    <xf numFmtId="0" fontId="5" fillId="4" borderId="1" xfId="0" applyFont="1" applyFill="1" applyBorder="1" applyAlignment="1">
      <alignment vertical="top" wrapText="1"/>
    </xf>
    <xf numFmtId="0" fontId="12" fillId="0" borderId="0" xfId="0" applyFont="1" applyAlignment="1">
      <alignment vertical="top"/>
    </xf>
    <xf numFmtId="0" fontId="1" fillId="7" borderId="3" xfId="0" applyFont="1" applyFill="1" applyBorder="1" applyAlignment="1">
      <alignment horizontal="left" vertical="top" wrapText="1"/>
    </xf>
    <xf numFmtId="0" fontId="1" fillId="7" borderId="1" xfId="0" applyFont="1" applyFill="1" applyBorder="1" applyAlignment="1">
      <alignment vertical="top"/>
    </xf>
    <xf numFmtId="0" fontId="3" fillId="7" borderId="3" xfId="0" applyFont="1" applyFill="1" applyBorder="1" applyAlignment="1">
      <alignment horizontal="left" vertical="top" wrapText="1"/>
    </xf>
    <xf numFmtId="0" fontId="0" fillId="7" borderId="1" xfId="0" applyFill="1" applyBorder="1" applyAlignment="1">
      <alignment vertical="top" wrapText="1"/>
    </xf>
    <xf numFmtId="0" fontId="1" fillId="4" borderId="1" xfId="0" applyFont="1" applyFill="1" applyBorder="1" applyAlignment="1">
      <alignment horizontal="center" vertical="top" wrapText="1"/>
    </xf>
    <xf numFmtId="0" fontId="0" fillId="4" borderId="1" xfId="0" applyFill="1" applyBorder="1" applyAlignment="1">
      <alignment horizontal="left" vertical="top" wrapText="1"/>
    </xf>
    <xf numFmtId="0" fontId="0" fillId="4" borderId="1" xfId="0" applyFill="1" applyBorder="1" applyAlignment="1">
      <alignment horizontal="left" vertical="top"/>
    </xf>
    <xf numFmtId="0" fontId="0" fillId="4" borderId="1" xfId="0" applyFill="1" applyBorder="1" applyAlignment="1">
      <alignment horizontal="center" vertical="top" wrapText="1"/>
    </xf>
    <xf numFmtId="0" fontId="0" fillId="0" borderId="1" xfId="0" applyBorder="1" applyAlignment="1">
      <alignment wrapText="1"/>
    </xf>
    <xf numFmtId="0" fontId="1" fillId="7" borderId="1" xfId="0" applyFont="1" applyFill="1" applyBorder="1" applyAlignment="1">
      <alignment horizontal="left" vertical="center" wrapText="1"/>
    </xf>
    <xf numFmtId="0" fontId="1" fillId="4" borderId="1" xfId="0" applyFont="1" applyFill="1" applyBorder="1" applyAlignment="1">
      <alignment horizontal="left" vertical="center" wrapText="1"/>
    </xf>
    <xf numFmtId="0" fontId="5" fillId="4" borderId="1" xfId="0" applyFont="1" applyFill="1" applyBorder="1" applyAlignment="1">
      <alignment horizontal="left" vertical="center"/>
    </xf>
    <xf numFmtId="0" fontId="1" fillId="7" borderId="1" xfId="0" applyFont="1" applyFill="1" applyBorder="1" applyAlignment="1">
      <alignment horizontal="center"/>
    </xf>
    <xf numFmtId="0" fontId="5" fillId="7" borderId="3" xfId="0" applyFont="1" applyFill="1" applyBorder="1" applyAlignment="1">
      <alignment horizontal="center" vertical="center"/>
    </xf>
    <xf numFmtId="0" fontId="5" fillId="7" borderId="8" xfId="0" applyFont="1" applyFill="1" applyBorder="1" applyAlignment="1">
      <alignment horizontal="center" vertical="center"/>
    </xf>
    <xf numFmtId="0" fontId="5" fillId="4" borderId="1" xfId="0" applyFont="1" applyFill="1" applyBorder="1" applyAlignment="1">
      <alignment horizontal="center" vertical="center"/>
    </xf>
    <xf numFmtId="0" fontId="3" fillId="4" borderId="4" xfId="0" applyFont="1" applyFill="1" applyBorder="1" applyAlignment="1">
      <alignment horizontal="left" vertical="center" wrapText="1"/>
    </xf>
    <xf numFmtId="0" fontId="3" fillId="4" borderId="5" xfId="0" applyFont="1" applyFill="1" applyBorder="1" applyAlignment="1">
      <alignment horizontal="left" vertical="center" wrapText="1"/>
    </xf>
    <xf numFmtId="0" fontId="3" fillId="4" borderId="2" xfId="0" applyFont="1" applyFill="1" applyBorder="1" applyAlignment="1">
      <alignment horizontal="left" vertical="center" wrapText="1"/>
    </xf>
    <xf numFmtId="0" fontId="3" fillId="4" borderId="4" xfId="0" applyFont="1" applyFill="1" applyBorder="1" applyAlignment="1">
      <alignment horizontal="center" vertical="center" wrapText="1"/>
    </xf>
    <xf numFmtId="0" fontId="3" fillId="4" borderId="5" xfId="0" applyFont="1" applyFill="1" applyBorder="1" applyAlignment="1">
      <alignment horizontal="center" vertical="center" wrapText="1"/>
    </xf>
    <xf numFmtId="0" fontId="3" fillId="4" borderId="2" xfId="0" applyFont="1" applyFill="1" applyBorder="1" applyAlignment="1">
      <alignment horizontal="center" vertical="center" wrapText="1"/>
    </xf>
    <xf numFmtId="0" fontId="1" fillId="4" borderId="3" xfId="0" applyFont="1" applyFill="1" applyBorder="1" applyAlignment="1">
      <alignment horizontal="center" vertical="center" wrapText="1"/>
    </xf>
    <xf numFmtId="0" fontId="1" fillId="4" borderId="8" xfId="0" applyFont="1" applyFill="1" applyBorder="1" applyAlignment="1">
      <alignment horizontal="center" vertical="center" wrapText="1"/>
    </xf>
    <xf numFmtId="0" fontId="1" fillId="7" borderId="1" xfId="0" applyFont="1" applyFill="1" applyBorder="1" applyAlignment="1">
      <alignment horizontal="center" vertical="center" wrapText="1"/>
    </xf>
    <xf numFmtId="0" fontId="0" fillId="4" borderId="3" xfId="0" applyFill="1" applyBorder="1" applyAlignment="1">
      <alignment horizontal="center" vertical="center" wrapText="1"/>
    </xf>
    <xf numFmtId="0" fontId="0" fillId="4" borderId="8" xfId="0" applyFill="1" applyBorder="1" applyAlignment="1">
      <alignment horizontal="center" vertical="center" wrapText="1"/>
    </xf>
    <xf numFmtId="0" fontId="0" fillId="4" borderId="1" xfId="0" applyFill="1" applyBorder="1" applyAlignment="1">
      <alignment horizontal="center" vertical="center" wrapText="1"/>
    </xf>
    <xf numFmtId="0" fontId="0" fillId="4" borderId="9" xfId="0" applyFill="1" applyBorder="1" applyAlignment="1">
      <alignment horizontal="center" vertical="center" wrapText="1"/>
    </xf>
    <xf numFmtId="0" fontId="1" fillId="7" borderId="3" xfId="0" applyFont="1" applyFill="1" applyBorder="1" applyAlignment="1">
      <alignment horizontal="center" vertical="center" wrapText="1"/>
    </xf>
    <xf numFmtId="0" fontId="1" fillId="7" borderId="8" xfId="0" applyFont="1" applyFill="1" applyBorder="1" applyAlignment="1">
      <alignment horizontal="center" vertical="center" wrapText="1"/>
    </xf>
    <xf numFmtId="0" fontId="0" fillId="7" borderId="4" xfId="0" applyFill="1" applyBorder="1" applyAlignment="1">
      <alignment horizontal="center" vertical="center" wrapText="1"/>
    </xf>
    <xf numFmtId="0" fontId="0" fillId="7" borderId="2" xfId="0" applyFill="1" applyBorder="1" applyAlignment="1">
      <alignment horizontal="center" vertical="center" wrapText="1"/>
    </xf>
    <xf numFmtId="0" fontId="1" fillId="4" borderId="4" xfId="0" applyFont="1" applyFill="1" applyBorder="1" applyAlignment="1">
      <alignment horizontal="center" vertical="center" wrapText="1"/>
    </xf>
    <xf numFmtId="0" fontId="1" fillId="4" borderId="5"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1" fillId="2" borderId="1" xfId="0" applyFont="1" applyFill="1" applyBorder="1" applyAlignment="1">
      <alignment horizontal="center" vertical="center" wrapText="1"/>
    </xf>
    <xf numFmtId="0" fontId="1" fillId="4" borderId="1" xfId="0" applyFont="1" applyFill="1" applyBorder="1" applyAlignment="1">
      <alignment horizontal="center" vertical="center"/>
    </xf>
    <xf numFmtId="0" fontId="1" fillId="2" borderId="1" xfId="0" applyFont="1" applyFill="1" applyBorder="1" applyAlignment="1">
      <alignment horizontal="center" vertical="center"/>
    </xf>
    <xf numFmtId="0" fontId="1" fillId="2" borderId="4" xfId="0" applyFont="1" applyFill="1" applyBorder="1" applyAlignment="1">
      <alignment horizontal="center" vertical="center" wrapText="1"/>
    </xf>
    <xf numFmtId="0" fontId="1" fillId="2" borderId="5" xfId="0" applyFont="1" applyFill="1" applyBorder="1" applyAlignment="1">
      <alignment horizontal="center" vertical="center" wrapText="1"/>
    </xf>
    <xf numFmtId="0" fontId="1" fillId="2" borderId="2" xfId="0" applyFont="1" applyFill="1" applyBorder="1" applyAlignment="1">
      <alignment horizontal="center" vertical="center" wrapText="1"/>
    </xf>
  </cellXfs>
  <cellStyles count="1">
    <cellStyle name="Standard" xfId="0" builtinId="0"/>
  </cellStyles>
  <dxfs count="0"/>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8" Type="http://schemas.openxmlformats.org/officeDocument/2006/relationships/image" Target="file:///C:\Users\ARenz\Documents\Chemie\Master\OC_Modulpraktikum\gcode\inverse_linear.jpg" TargetMode="External"/><Relationship Id="rId3" Type="http://schemas.openxmlformats.org/officeDocument/2006/relationships/image" Target="../media/image4.jpeg"/><Relationship Id="rId7" Type="http://schemas.openxmlformats.org/officeDocument/2006/relationships/image" Target="../media/image6.jpeg"/><Relationship Id="rId2" Type="http://schemas.openxmlformats.org/officeDocument/2006/relationships/image" Target="file:///C:\Users\ARenz\Documents\Chemie\Master\OC_Modulpraktikum\gcode\S.jpg" TargetMode="External"/><Relationship Id="rId1" Type="http://schemas.openxmlformats.org/officeDocument/2006/relationships/image" Target="../media/image3.jpeg"/><Relationship Id="rId6" Type="http://schemas.openxmlformats.org/officeDocument/2006/relationships/image" Target="file:///C:\Users\ARenz\Documents\Chemie\Master\OC_Modulpraktikum\gcode\linear.jpg" TargetMode="External"/><Relationship Id="rId5" Type="http://schemas.openxmlformats.org/officeDocument/2006/relationships/image" Target="../media/image5.jpeg"/><Relationship Id="rId4" Type="http://schemas.openxmlformats.org/officeDocument/2006/relationships/image" Target="file:///C:\Users\ARenz\Documents\Chemie\Master\OC_Modulpraktikum\gcode\inverse_S.jpg"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2</xdr:col>
      <xdr:colOff>733425</xdr:colOff>
      <xdr:row>1</xdr:row>
      <xdr:rowOff>1691009</xdr:rowOff>
    </xdr:from>
    <xdr:to>
      <xdr:col>5</xdr:col>
      <xdr:colOff>21225</xdr:colOff>
      <xdr:row>3</xdr:row>
      <xdr:rowOff>128629</xdr:rowOff>
    </xdr:to>
    <xdr:sp macro="[0]!Open_Export" textlink="">
      <xdr:nvSpPr>
        <xdr:cNvPr id="3" name="Textfeld 2">
          <a:extLst>
            <a:ext uri="{FF2B5EF4-FFF2-40B4-BE49-F238E27FC236}">
              <a16:creationId xmlns:a16="http://schemas.microsoft.com/office/drawing/2014/main" id="{0CB210C7-D378-4DC6-B822-3482F0866718}"/>
            </a:ext>
          </a:extLst>
        </xdr:cNvPr>
        <xdr:cNvSpPr txBox="1"/>
      </xdr:nvSpPr>
      <xdr:spPr>
        <a:xfrm>
          <a:off x="8285692" y="1877276"/>
          <a:ext cx="1497600" cy="723620"/>
        </a:xfrm>
        <a:prstGeom prst="rect">
          <a:avLst/>
        </a:prstGeom>
        <a:solidFill>
          <a:schemeClr val="accent1">
            <a:lumMod val="60000"/>
            <a:lumOff val="4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800"/>
            <a:t>Export      </a:t>
          </a:r>
        </a:p>
        <a:p>
          <a:pPr algn="ctr"/>
          <a:r>
            <a:rPr lang="de-DE" sz="1800"/>
            <a:t>g-code</a:t>
          </a:r>
        </a:p>
      </xdr:txBody>
    </xdr:sp>
    <xdr:clientData/>
  </xdr:twoCellAnchor>
  <xdr:twoCellAnchor>
    <xdr:from>
      <xdr:col>3</xdr:col>
      <xdr:colOff>316</xdr:colOff>
      <xdr:row>1</xdr:row>
      <xdr:rowOff>0</xdr:rowOff>
    </xdr:from>
    <xdr:to>
      <xdr:col>5</xdr:col>
      <xdr:colOff>24716</xdr:colOff>
      <xdr:row>1</xdr:row>
      <xdr:rowOff>766800</xdr:rowOff>
    </xdr:to>
    <xdr:sp macro="[0]!Open_Modifications" textlink="">
      <xdr:nvSpPr>
        <xdr:cNvPr id="2" name="Textfeld 1">
          <a:extLst>
            <a:ext uri="{FF2B5EF4-FFF2-40B4-BE49-F238E27FC236}">
              <a16:creationId xmlns:a16="http://schemas.microsoft.com/office/drawing/2014/main" id="{14AD4C49-B50E-4815-8C89-A18CA4970FB0}"/>
            </a:ext>
          </a:extLst>
        </xdr:cNvPr>
        <xdr:cNvSpPr txBox="1"/>
      </xdr:nvSpPr>
      <xdr:spPr>
        <a:xfrm>
          <a:off x="8704049" y="186267"/>
          <a:ext cx="1497600" cy="766800"/>
        </a:xfrm>
        <a:prstGeom prst="rect">
          <a:avLst/>
        </a:prstGeom>
        <a:solidFill>
          <a:schemeClr val="accent1">
            <a:lumMod val="60000"/>
            <a:lumOff val="4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800"/>
            <a:t>Modify</a:t>
          </a:r>
        </a:p>
        <a:p>
          <a:pPr algn="ctr"/>
          <a:r>
            <a:rPr lang="de-DE" sz="1800"/>
            <a:t>g-code</a:t>
          </a:r>
        </a:p>
      </xdr:txBody>
    </xdr:sp>
    <xdr:clientData/>
  </xdr:twoCellAnchor>
  <xdr:twoCellAnchor>
    <xdr:from>
      <xdr:col>3</xdr:col>
      <xdr:colOff>1</xdr:colOff>
      <xdr:row>6</xdr:row>
      <xdr:rowOff>9525</xdr:rowOff>
    </xdr:from>
    <xdr:to>
      <xdr:col>5</xdr:col>
      <xdr:colOff>24001</xdr:colOff>
      <xdr:row>7</xdr:row>
      <xdr:rowOff>328400</xdr:rowOff>
    </xdr:to>
    <xdr:sp macro="[0]!Open_Advanced_Settings" textlink="">
      <xdr:nvSpPr>
        <xdr:cNvPr id="4" name="Textfeld 3">
          <a:extLst>
            <a:ext uri="{FF2B5EF4-FFF2-40B4-BE49-F238E27FC236}">
              <a16:creationId xmlns:a16="http://schemas.microsoft.com/office/drawing/2014/main" id="{62507622-9847-4DA9-9502-A62B7606B331}"/>
            </a:ext>
          </a:extLst>
        </xdr:cNvPr>
        <xdr:cNvSpPr txBox="1"/>
      </xdr:nvSpPr>
      <xdr:spPr>
        <a:xfrm>
          <a:off x="8288868" y="3616325"/>
          <a:ext cx="1497200" cy="767608"/>
        </a:xfrm>
        <a:prstGeom prst="rect">
          <a:avLst/>
        </a:prstGeom>
        <a:solidFill>
          <a:schemeClr val="accent1">
            <a:lumMod val="60000"/>
            <a:lumOff val="4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800"/>
            <a:t>Advanced Settings</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1252538</xdr:colOff>
          <xdr:row>2</xdr:row>
          <xdr:rowOff>176213</xdr:rowOff>
        </xdr:from>
        <xdr:to>
          <xdr:col>0</xdr:col>
          <xdr:colOff>1919288</xdr:colOff>
          <xdr:row>4</xdr:row>
          <xdr:rowOff>320675</xdr:rowOff>
        </xdr:to>
        <xdr:pic>
          <xdr:nvPicPr>
            <xdr:cNvPr id="3" name="Grafik 2">
              <a:extLst>
                <a:ext uri="{FF2B5EF4-FFF2-40B4-BE49-F238E27FC236}">
                  <a16:creationId xmlns:a16="http://schemas.microsoft.com/office/drawing/2014/main" id="{197EC4CC-3BF5-7A39-0093-4F914DCA4057}"/>
                </a:ext>
              </a:extLst>
            </xdr:cNvPr>
            <xdr:cNvPicPr>
              <a:picLocks noChangeAspect="1" noChangeArrowheads="1"/>
              <a:extLst>
                <a:ext uri="{84589F7E-364E-4C9E-8A38-B11213B215E9}">
                  <a14:cameraTool cellRange="sampling_order" spid="_x0000_s16733"/>
                </a:ext>
              </a:extLst>
            </xdr:cNvPicPr>
          </xdr:nvPicPr>
          <xdr:blipFill>
            <a:blip xmlns:r="http://schemas.openxmlformats.org/officeDocument/2006/relationships" r:embed="rId1"/>
            <a:srcRect/>
            <a:stretch>
              <a:fillRect/>
            </a:stretch>
          </xdr:blipFill>
          <xdr:spPr bwMode="auto">
            <a:xfrm>
              <a:off x="1252538" y="906463"/>
              <a:ext cx="666750" cy="938212"/>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10</xdr:col>
      <xdr:colOff>12700</xdr:colOff>
      <xdr:row>1</xdr:row>
      <xdr:rowOff>0</xdr:rowOff>
    </xdr:from>
    <xdr:to>
      <xdr:col>10</xdr:col>
      <xdr:colOff>603250</xdr:colOff>
      <xdr:row>1</xdr:row>
      <xdr:rowOff>920750</xdr:rowOff>
    </xdr:to>
    <xdr:pic>
      <xdr:nvPicPr>
        <xdr:cNvPr id="24" name="Grafik 23">
          <a:extLst>
            <a:ext uri="{FF2B5EF4-FFF2-40B4-BE49-F238E27FC236}">
              <a16:creationId xmlns:a16="http://schemas.microsoft.com/office/drawing/2014/main" id="{F532D30F-A030-90F9-CF17-17BCC4595487}"/>
            </a:ext>
          </a:extLst>
        </xdr:cNvPr>
        <xdr:cNvPicPr>
          <a:picLocks noChangeAspect="1"/>
        </xdr:cNvPicPr>
      </xdr:nvPicPr>
      <xdr:blipFill>
        <a:blip xmlns:r="http://schemas.openxmlformats.org/officeDocument/2006/relationships" r:embed="rId1" r:link="rId2">
          <a:extLst>
            <a:ext uri="{28A0092B-C50C-407E-A947-70E740481C1C}">
              <a14:useLocalDpi xmlns:a14="http://schemas.microsoft.com/office/drawing/2010/main" val="0"/>
            </a:ext>
          </a:extLst>
        </a:blip>
        <a:stretch>
          <a:fillRect/>
        </a:stretch>
      </xdr:blipFill>
      <xdr:spPr>
        <a:xfrm>
          <a:off x="10390414" y="371929"/>
          <a:ext cx="590550" cy="920750"/>
        </a:xfrm>
        <a:prstGeom prst="rect">
          <a:avLst/>
        </a:prstGeom>
      </xdr:spPr>
    </xdr:pic>
    <xdr:clientData/>
  </xdr:twoCellAnchor>
  <xdr:twoCellAnchor>
    <xdr:from>
      <xdr:col>10</xdr:col>
      <xdr:colOff>12700</xdr:colOff>
      <xdr:row>2</xdr:row>
      <xdr:rowOff>0</xdr:rowOff>
    </xdr:from>
    <xdr:to>
      <xdr:col>10</xdr:col>
      <xdr:colOff>603250</xdr:colOff>
      <xdr:row>2</xdr:row>
      <xdr:rowOff>920750</xdr:rowOff>
    </xdr:to>
    <xdr:pic>
      <xdr:nvPicPr>
        <xdr:cNvPr id="26" name="Grafik 25">
          <a:extLst>
            <a:ext uri="{FF2B5EF4-FFF2-40B4-BE49-F238E27FC236}">
              <a16:creationId xmlns:a16="http://schemas.microsoft.com/office/drawing/2014/main" id="{B63D4445-80BF-6821-52FF-422BC364BFC7}"/>
            </a:ext>
          </a:extLst>
        </xdr:cNvPr>
        <xdr:cNvPicPr>
          <a:picLocks noChangeAspect="1"/>
        </xdr:cNvPicPr>
      </xdr:nvPicPr>
      <xdr:blipFill>
        <a:blip xmlns:r="http://schemas.openxmlformats.org/officeDocument/2006/relationships" r:embed="rId3" r:link="rId4">
          <a:extLst>
            <a:ext uri="{28A0092B-C50C-407E-A947-70E740481C1C}">
              <a14:useLocalDpi xmlns:a14="http://schemas.microsoft.com/office/drawing/2010/main" val="0"/>
            </a:ext>
          </a:extLst>
        </a:blip>
        <a:stretch>
          <a:fillRect/>
        </a:stretch>
      </xdr:blipFill>
      <xdr:spPr>
        <a:xfrm>
          <a:off x="8636000" y="1301750"/>
          <a:ext cx="590550" cy="920750"/>
        </a:xfrm>
        <a:prstGeom prst="rect">
          <a:avLst/>
        </a:prstGeom>
      </xdr:spPr>
    </xdr:pic>
    <xdr:clientData/>
  </xdr:twoCellAnchor>
  <xdr:twoCellAnchor>
    <xdr:from>
      <xdr:col>10</xdr:col>
      <xdr:colOff>12700</xdr:colOff>
      <xdr:row>3</xdr:row>
      <xdr:rowOff>0</xdr:rowOff>
    </xdr:from>
    <xdr:to>
      <xdr:col>10</xdr:col>
      <xdr:colOff>603250</xdr:colOff>
      <xdr:row>3</xdr:row>
      <xdr:rowOff>920750</xdr:rowOff>
    </xdr:to>
    <xdr:pic>
      <xdr:nvPicPr>
        <xdr:cNvPr id="28" name="Grafik 27">
          <a:extLst>
            <a:ext uri="{FF2B5EF4-FFF2-40B4-BE49-F238E27FC236}">
              <a16:creationId xmlns:a16="http://schemas.microsoft.com/office/drawing/2014/main" id="{6E4F7B2F-4DF0-CAA0-EB3B-7A256CE2E81F}"/>
            </a:ext>
          </a:extLst>
        </xdr:cNvPr>
        <xdr:cNvPicPr>
          <a:picLocks noChangeAspect="1"/>
        </xdr:cNvPicPr>
      </xdr:nvPicPr>
      <xdr:blipFill>
        <a:blip xmlns:r="http://schemas.openxmlformats.org/officeDocument/2006/relationships" r:embed="rId5" r:link="rId6">
          <a:extLst>
            <a:ext uri="{28A0092B-C50C-407E-A947-70E740481C1C}">
              <a14:useLocalDpi xmlns:a14="http://schemas.microsoft.com/office/drawing/2010/main" val="0"/>
            </a:ext>
          </a:extLst>
        </a:blip>
        <a:stretch>
          <a:fillRect/>
        </a:stretch>
      </xdr:blipFill>
      <xdr:spPr>
        <a:xfrm>
          <a:off x="8636000" y="2235200"/>
          <a:ext cx="590550" cy="920750"/>
        </a:xfrm>
        <a:prstGeom prst="rect">
          <a:avLst/>
        </a:prstGeom>
      </xdr:spPr>
    </xdr:pic>
    <xdr:clientData/>
  </xdr:twoCellAnchor>
  <xdr:twoCellAnchor>
    <xdr:from>
      <xdr:col>10</xdr:col>
      <xdr:colOff>12700</xdr:colOff>
      <xdr:row>4</xdr:row>
      <xdr:rowOff>0</xdr:rowOff>
    </xdr:from>
    <xdr:to>
      <xdr:col>10</xdr:col>
      <xdr:colOff>603250</xdr:colOff>
      <xdr:row>4</xdr:row>
      <xdr:rowOff>920750</xdr:rowOff>
    </xdr:to>
    <xdr:pic>
      <xdr:nvPicPr>
        <xdr:cNvPr id="30" name="Grafik 29">
          <a:extLst>
            <a:ext uri="{FF2B5EF4-FFF2-40B4-BE49-F238E27FC236}">
              <a16:creationId xmlns:a16="http://schemas.microsoft.com/office/drawing/2014/main" id="{7F8F9788-0473-C905-F3D9-6CF11B619836}"/>
            </a:ext>
          </a:extLst>
        </xdr:cNvPr>
        <xdr:cNvPicPr>
          <a:picLocks noChangeAspect="1"/>
        </xdr:cNvPicPr>
      </xdr:nvPicPr>
      <xdr:blipFill>
        <a:blip xmlns:r="http://schemas.openxmlformats.org/officeDocument/2006/relationships" r:embed="rId7" r:link="rId8">
          <a:extLst>
            <a:ext uri="{28A0092B-C50C-407E-A947-70E740481C1C}">
              <a14:useLocalDpi xmlns:a14="http://schemas.microsoft.com/office/drawing/2010/main" val="0"/>
            </a:ext>
          </a:extLst>
        </a:blip>
        <a:stretch>
          <a:fillRect/>
        </a:stretch>
      </xdr:blipFill>
      <xdr:spPr>
        <a:xfrm>
          <a:off x="8636000" y="3168650"/>
          <a:ext cx="590550" cy="920750"/>
        </a:xfrm>
        <a:prstGeom prst="rect">
          <a:avLst/>
        </a:prstGeom>
      </xdr:spPr>
    </xdr:pic>
    <xdr:clientData/>
  </xdr:twoCellAnchor>
</xdr:wsDr>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A1:B9"/>
  <sheetViews>
    <sheetView showGridLines="0" tabSelected="1" zoomScale="90" zoomScaleNormal="90" workbookViewId="0">
      <selection activeCell="I9" sqref="I9"/>
    </sheetView>
  </sheetViews>
  <sheetFormatPr baseColWidth="10" defaultColWidth="10.7109375" defaultRowHeight="15"/>
  <cols>
    <col min="1" max="1" width="11.7109375" customWidth="1"/>
    <col min="2" max="2" width="98.28515625" customWidth="1"/>
  </cols>
  <sheetData>
    <row r="1" spans="1:2">
      <c r="A1" s="9" t="s">
        <v>33</v>
      </c>
      <c r="B1" s="10" t="s">
        <v>34</v>
      </c>
    </row>
    <row r="2" spans="1:2" ht="144" customHeight="1">
      <c r="A2" s="57" t="s">
        <v>35</v>
      </c>
      <c r="B2" s="66" t="s">
        <v>262</v>
      </c>
    </row>
    <row r="3" spans="1:2" ht="36" customHeight="1">
      <c r="A3" s="9" t="s">
        <v>93</v>
      </c>
      <c r="B3" s="12" t="s">
        <v>260</v>
      </c>
    </row>
    <row r="4" spans="1:2" ht="36" customHeight="1">
      <c r="A4" s="56" t="s">
        <v>96</v>
      </c>
      <c r="B4" s="37" t="s">
        <v>261</v>
      </c>
    </row>
    <row r="5" spans="1:2" ht="36" customHeight="1">
      <c r="A5" s="9" t="s">
        <v>94</v>
      </c>
      <c r="B5" s="12" t="s">
        <v>229</v>
      </c>
    </row>
    <row r="6" spans="1:2" ht="18" customHeight="1">
      <c r="A6" s="57" t="s">
        <v>97</v>
      </c>
      <c r="B6" s="8" t="s">
        <v>259</v>
      </c>
    </row>
    <row r="7" spans="1:2" ht="36" customHeight="1">
      <c r="A7" s="9" t="s">
        <v>95</v>
      </c>
      <c r="B7" s="12" t="s">
        <v>230</v>
      </c>
    </row>
    <row r="8" spans="1:2" ht="54" customHeight="1">
      <c r="A8" s="11" t="s">
        <v>92</v>
      </c>
      <c r="B8" s="8" t="s">
        <v>263</v>
      </c>
    </row>
    <row r="9" spans="1:2" ht="36" customHeight="1">
      <c r="A9" s="9" t="s">
        <v>232</v>
      </c>
      <c r="B9" s="12" t="s">
        <v>258</v>
      </c>
    </row>
  </sheetData>
  <pageMargins left="0.7" right="0.7" top="0.78740157499999996" bottom="0.78740157499999996" header="0.3" footer="0.3"/>
  <pageSetup paperSize="9" orientation="portrait" horizontalDpi="360" verticalDpi="36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pageSetUpPr fitToPage="1"/>
  </sheetPr>
  <dimension ref="A1:L53"/>
  <sheetViews>
    <sheetView showGridLines="0" zoomScale="66" zoomScaleNormal="66" workbookViewId="0">
      <selection activeCell="N22" sqref="N22"/>
    </sheetView>
  </sheetViews>
  <sheetFormatPr baseColWidth="10" defaultColWidth="10.7109375" defaultRowHeight="15"/>
  <cols>
    <col min="1" max="1" width="28.7109375" style="1" customWidth="1"/>
    <col min="2" max="2" width="18.7109375" customWidth="1"/>
    <col min="3" max="3" width="2.7109375" customWidth="1"/>
    <col min="4" max="4" width="33.5703125" customWidth="1"/>
    <col min="5" max="5" width="7.7109375" customWidth="1"/>
    <col min="6" max="6" width="2.7109375" customWidth="1"/>
    <col min="7" max="7" width="25" customWidth="1"/>
    <col min="8" max="8" width="7.42578125" customWidth="1"/>
    <col min="9" max="9" width="2.7109375" customWidth="1"/>
    <col min="10" max="10" width="34.42578125" bestFit="1" customWidth="1"/>
    <col min="11" max="11" width="8.7109375" style="3" customWidth="1"/>
    <col min="12" max="12" width="2.7109375" customWidth="1"/>
    <col min="22" max="22" width="38.28515625" customWidth="1"/>
    <col min="23" max="23" width="5.5703125" bestFit="1" customWidth="1"/>
  </cols>
  <sheetData>
    <row r="1" spans="1:12">
      <c r="A1" s="107" t="s">
        <v>0</v>
      </c>
      <c r="B1" s="108"/>
      <c r="D1" s="97" t="s">
        <v>1</v>
      </c>
      <c r="E1" s="97"/>
      <c r="G1" s="100" t="s">
        <v>26</v>
      </c>
      <c r="H1" s="100"/>
      <c r="J1" s="98" t="s">
        <v>72</v>
      </c>
      <c r="K1" s="99"/>
    </row>
    <row r="2" spans="1:12" ht="30">
      <c r="A2" s="33" t="s">
        <v>89</v>
      </c>
      <c r="B2" s="18" t="s">
        <v>224</v>
      </c>
      <c r="D2" s="24" t="s">
        <v>74</v>
      </c>
      <c r="E2" s="30">
        <v>3</v>
      </c>
      <c r="G2" s="25" t="s">
        <v>79</v>
      </c>
      <c r="H2" s="62">
        <v>3</v>
      </c>
      <c r="J2" s="24" t="s">
        <v>24</v>
      </c>
      <c r="K2" s="60">
        <v>1</v>
      </c>
    </row>
    <row r="3" spans="1:12" ht="30">
      <c r="A3" s="101" t="s">
        <v>19</v>
      </c>
      <c r="B3" s="104" t="s">
        <v>43</v>
      </c>
      <c r="D3" s="24" t="s">
        <v>248</v>
      </c>
      <c r="E3" s="31" t="b">
        <v>1</v>
      </c>
      <c r="G3" s="25" t="s">
        <v>36</v>
      </c>
      <c r="H3" s="13">
        <v>10</v>
      </c>
      <c r="J3" s="24" t="s">
        <v>69</v>
      </c>
      <c r="K3" s="58">
        <v>1</v>
      </c>
    </row>
    <row r="4" spans="1:12" ht="34.15" customHeight="1">
      <c r="A4" s="102"/>
      <c r="B4" s="105"/>
      <c r="C4" s="1"/>
      <c r="D4" s="24" t="s">
        <v>71</v>
      </c>
      <c r="E4" s="60" t="s">
        <v>264</v>
      </c>
      <c r="F4" s="1"/>
      <c r="G4" s="25" t="s">
        <v>42</v>
      </c>
      <c r="H4" s="62">
        <v>25</v>
      </c>
      <c r="I4" s="1"/>
      <c r="J4" s="24" t="s">
        <v>166</v>
      </c>
      <c r="K4" s="60">
        <v>2</v>
      </c>
      <c r="L4" s="1"/>
    </row>
    <row r="5" spans="1:12" ht="30">
      <c r="A5" s="103"/>
      <c r="B5" s="106"/>
      <c r="D5" s="24" t="s">
        <v>249</v>
      </c>
      <c r="E5" s="31" t="b">
        <v>1</v>
      </c>
      <c r="G5" s="25" t="s">
        <v>80</v>
      </c>
      <c r="H5" s="62">
        <v>1</v>
      </c>
      <c r="J5" s="24" t="s">
        <v>70</v>
      </c>
      <c r="K5" s="60">
        <v>2</v>
      </c>
    </row>
    <row r="6" spans="1:12" ht="30">
      <c r="A6" s="36" t="str">
        <f>"sampling of (1=each sample, 2=each second sample, etc.)"</f>
        <v>sampling of (1=each sample, 2=each second sample, etc.)</v>
      </c>
      <c r="B6" s="64">
        <v>1</v>
      </c>
      <c r="D6" s="24" t="s">
        <v>250</v>
      </c>
      <c r="E6" s="31" t="b">
        <v>1</v>
      </c>
    </row>
    <row r="7" spans="1:12" ht="45">
      <c r="A7" s="33" t="s">
        <v>180</v>
      </c>
      <c r="B7" s="65">
        <v>7</v>
      </c>
    </row>
    <row r="11" spans="1:12">
      <c r="H11" s="1"/>
      <c r="J11" s="35"/>
    </row>
    <row r="12" spans="1:12">
      <c r="H12" s="1"/>
    </row>
    <row r="19" ht="14.65" customHeight="1"/>
    <row r="20" ht="14.65" customHeight="1"/>
    <row r="21" ht="14.65" customHeight="1"/>
    <row r="22" ht="14.65" customHeight="1"/>
    <row r="23" ht="14.65" customHeight="1"/>
    <row r="25" ht="14.65" customHeight="1"/>
    <row r="26" ht="14.65" customHeight="1"/>
    <row r="27" ht="14.65" customHeight="1"/>
    <row r="28" ht="14.65" customHeight="1"/>
    <row r="29" ht="14.65" customHeight="1"/>
    <row r="30" ht="14.65" customHeight="1"/>
    <row r="31" ht="14.65" customHeight="1"/>
    <row r="32" ht="14.65" customHeight="1"/>
    <row r="33" ht="14.65" customHeight="1"/>
    <row r="34" ht="14.65" customHeight="1"/>
    <row r="35" ht="14.65" customHeight="1"/>
    <row r="36" ht="14.65" customHeight="1"/>
    <row r="37" ht="14.65" customHeight="1"/>
    <row r="38" ht="14.65" customHeight="1"/>
    <row r="39" ht="14.65" customHeight="1"/>
    <row r="40" ht="14.65" customHeight="1"/>
    <row r="41" ht="14.65" customHeight="1"/>
    <row r="42" ht="14.65" customHeight="1"/>
    <row r="43" ht="14.65" customHeight="1"/>
    <row r="44" ht="14.65" customHeight="1"/>
    <row r="45" ht="14.65" customHeight="1"/>
    <row r="46" ht="14.65" customHeight="1"/>
    <row r="47" ht="14.65" customHeight="1"/>
    <row r="48" ht="14.65" customHeight="1"/>
    <row r="49" ht="14.65" customHeight="1"/>
    <row r="50" ht="14.65" customHeight="1"/>
    <row r="51" ht="14.65" customHeight="1"/>
    <row r="52" ht="14.65" customHeight="1"/>
    <row r="53" ht="14.65" customHeight="1"/>
  </sheetData>
  <mergeCells count="6">
    <mergeCell ref="D1:E1"/>
    <mergeCell ref="J1:K1"/>
    <mergeCell ref="G1:H1"/>
    <mergeCell ref="A3:A5"/>
    <mergeCell ref="B3:B5"/>
    <mergeCell ref="A1:B1"/>
  </mergeCells>
  <dataValidations count="6">
    <dataValidation type="decimal" operator="greaterThan" showInputMessage="1" showErrorMessage="1" errorTitle="Wrong entry!" error="Entry is required. It has to be a nonnegative number." sqref="H5" xr:uid="{00000000-0002-0000-0100-000000000000}">
      <formula1>0</formula1>
    </dataValidation>
    <dataValidation type="whole" operator="greaterThanOrEqual" showInputMessage="1" showErrorMessage="1" errorTitle="Wrong entry!" error="Entry is required. It has to be a nonnegative integer." sqref="H3" xr:uid="{00000000-0002-0000-0100-000001000000}">
      <formula1>1</formula1>
    </dataValidation>
    <dataValidation type="whole" showInputMessage="1" showErrorMessage="1" errorTitle="Wrong entry!" error="Entry is required. It has to be a nonnegative integer between 1 and 3." sqref="E2" xr:uid="{00000000-0002-0000-0100-000002000000}">
      <formula1>1</formula1>
      <formula2>3</formula2>
    </dataValidation>
    <dataValidation type="whole" operator="greaterThanOrEqual" allowBlank="1" showInputMessage="1" showErrorMessage="1" errorTitle="Wrong entry!" error="Entry has to be a nonnegative integer." sqref="K3" xr:uid="{00000000-0002-0000-0100-000003000000}">
      <formula1>1</formula1>
    </dataValidation>
    <dataValidation type="decimal" allowBlank="1" showInputMessage="1" showErrorMessage="1" errorTitle="Wrong entry!" error="Entry has to be a number between 0 and 70." sqref="E4" xr:uid="{00000000-0002-0000-0100-000004000000}">
      <formula1>20</formula1>
      <formula2>70</formula2>
    </dataValidation>
    <dataValidation type="whole" operator="greaterThanOrEqual" allowBlank="1" showInputMessage="1" showErrorMessage="1" errorTitle="Wrong entry!" error="Entry has to be a nonnegative integer." sqref="K5 K4" xr:uid="{00000000-0002-0000-0100-000005000000}">
      <formula1>0</formula1>
    </dataValidation>
  </dataValidations>
  <pageMargins left="0.7" right="0.7" top="0.78740157499999996" bottom="0.78740157499999996" header="0.3" footer="0.3"/>
  <pageSetup paperSize="9" scale="78" orientation="landscape" horizontalDpi="300" verticalDpi="300" r:id="rId1"/>
  <drawing r:id="rId2"/>
  <legacyDrawing r:id="rId3"/>
  <extLst>
    <ext xmlns:x14="http://schemas.microsoft.com/office/spreadsheetml/2009/9/main" uri="{CCE6A557-97BC-4b89-ADB6-D9C93CAAB3DF}">
      <x14:dataValidations xmlns:xm="http://schemas.microsoft.com/office/excel/2006/main" count="8">
        <x14:dataValidation type="list" showInputMessage="1" showErrorMessage="1" errorTitle="Wrong entry!" error="Entry is required. There are four options: S, inverse_S, linear and inverse_linear" xr:uid="{00000000-0002-0000-0100-000006000000}">
          <x14:formula1>
            <xm:f>calc1!$J$2:$J$5</xm:f>
          </x14:formula1>
          <xm:sqref>B3</xm:sqref>
        </x14:dataValidation>
        <x14:dataValidation type="list" showInputMessage="1" showErrorMessage="1" errorTitle="Wrong entry!" error="Entry can only be &quot;TRUE&quot; or &quot;FALSE&quot;." xr:uid="{00000000-0002-0000-0100-000007000000}">
          <x14:formula1>
            <xm:f>calc1!$W$2:$W$3</xm:f>
          </x14:formula1>
          <xm:sqref>E3 E5 E6</xm:sqref>
        </x14:dataValidation>
        <x14:dataValidation type="list" showInputMessage="1" showErrorMessage="1" errorTitle="Wrong entry!" error="Entry is required. New rack types have to be listed first before they can be selected." xr:uid="{00000000-0002-0000-0100-000008000000}">
          <x14:formula1>
            <xm:f>INDIRECT("initialize!$A$3:A"&amp;2+COUNTA(initialize!A3:A9988))</xm:f>
          </x14:formula1>
          <xm:sqref>B2</xm:sqref>
        </x14:dataValidation>
        <x14:dataValidation type="decimal" showInputMessage="1" showErrorMessage="1" errorTitle="Wrong entry!" error="Entry is required. It has to be a nonnegative number smaller than the volume of the syringe." xr:uid="{00000000-0002-0000-0100-000009000000}">
          <x14:formula1>
            <xm:f>0</xm:f>
          </x14:formula1>
          <x14:formula2>
            <xm:f>calc1!B7</xm:f>
          </x14:formula2>
          <xm:sqref>H2</xm:sqref>
        </x14:dataValidation>
        <x14:dataValidation type="whole" showInputMessage="1" showErrorMessage="1" errorTitle="Wrong entry!" error="Entry has to be a nonnegative Integer. It cannot be smaller than 1 or bigger than the number of samples." xr:uid="{00000000-0002-0000-0100-00000A000000}">
          <x14:formula1>
            <xm:f>1</xm:f>
          </x14:formula1>
          <x14:formula2>
            <xm:f>calc1!H3</xm:f>
          </x14:formula2>
          <xm:sqref>K2</xm:sqref>
        </x14:dataValidation>
        <x14:dataValidation type="whole" showInputMessage="1" showErrorMessage="1" errorTitle="Wrong entry!" error="Entry has to be a nonnegative Integer. It cannot be smaller than 1 or bigger than the number of samples in the rack." xr:uid="{00000000-0002-0000-0100-00000B000000}">
          <x14:formula1>
            <xm:f>1</xm:f>
          </x14:formula1>
          <x14:formula2>
            <xm:f>calc1!H2</xm:f>
          </x14:formula2>
          <xm:sqref>B6</xm:sqref>
        </x14:dataValidation>
        <x14:dataValidation type="whole" showInputMessage="1" showErrorMessage="1" errorTitle="Wrong entry!" error="Entry is required. It has to be an integer between 1 and the number of samples in the rack." xr:uid="{00000000-0002-0000-0100-00000C000000}">
          <x14:formula1>
            <xm:f>1</xm:f>
          </x14:formula1>
          <x14:formula2>
            <xm:f>calc1!H2</xm:f>
          </x14:formula2>
          <xm:sqref>B7</xm:sqref>
        </x14:dataValidation>
        <x14:dataValidation type="decimal" showInputMessage="1" showErrorMessage="1" errorTitle="Wrong entry!" error="Entry is required. It has to be a nonnegative number." xr:uid="{00000000-0002-0000-0100-00000D000000}">
          <x14:formula1>
            <xm:f>0</xm:f>
          </x14:formula1>
          <x14:formula2>
            <xm:f>initialize!Z2</xm:f>
          </x14:formula2>
          <xm:sqref>H4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6">
    <pageSetUpPr fitToPage="1"/>
  </sheetPr>
  <dimension ref="A1:AC247"/>
  <sheetViews>
    <sheetView showGridLines="0" zoomScale="66" zoomScaleNormal="66" workbookViewId="0">
      <selection activeCell="V9" sqref="V9"/>
    </sheetView>
  </sheetViews>
  <sheetFormatPr baseColWidth="10" defaultColWidth="10.7109375" defaultRowHeight="15"/>
  <cols>
    <col min="1" max="1" width="16.42578125" style="49" customWidth="1"/>
    <col min="2" max="2" width="12.5703125" style="32" customWidth="1"/>
    <col min="3" max="3" width="12.7109375" style="32" customWidth="1"/>
    <col min="4" max="4" width="6.5703125" style="32" customWidth="1"/>
    <col min="5" max="7" width="7.140625" style="32" bestFit="1" customWidth="1"/>
    <col min="8" max="8" width="9" style="32" customWidth="1"/>
    <col min="9" max="9" width="15.42578125" style="32" customWidth="1"/>
    <col min="10" max="10" width="2.7109375" style="5" customWidth="1"/>
    <col min="11" max="11" width="23.7109375" style="5" customWidth="1"/>
    <col min="12" max="12" width="7.42578125" style="38" customWidth="1"/>
    <col min="13" max="13" width="7.28515625" style="38" customWidth="1"/>
    <col min="14" max="14" width="6.7109375" style="5" customWidth="1"/>
    <col min="15" max="15" width="2.7109375" style="5" customWidth="1"/>
    <col min="16" max="16" width="32.28515625" style="4" customWidth="1"/>
    <col min="17" max="17" width="7.7109375" style="4" customWidth="1"/>
    <col min="18" max="18" width="2.7109375" style="5" customWidth="1"/>
    <col min="19" max="19" width="32.7109375" style="4" customWidth="1"/>
    <col min="20" max="20" width="9.42578125" style="4" customWidth="1"/>
    <col min="21" max="21" width="2.7109375" style="5" customWidth="1"/>
    <col min="22" max="22" width="27.28515625" style="4" bestFit="1" customWidth="1"/>
    <col min="23" max="23" width="10.28515625" style="4" customWidth="1"/>
    <col min="24" max="24" width="2.7109375" style="5" customWidth="1"/>
    <col min="25" max="25" width="6.5703125" style="4" customWidth="1"/>
    <col min="26" max="26" width="14" style="4" customWidth="1"/>
    <col min="27" max="27" width="17.7109375" style="4" customWidth="1"/>
    <col min="28" max="28" width="38.28515625" style="1" customWidth="1"/>
    <col min="29" max="29" width="10.7109375" style="1"/>
  </cols>
  <sheetData>
    <row r="1" spans="1:29" ht="48" customHeight="1">
      <c r="A1" s="108" t="s">
        <v>91</v>
      </c>
      <c r="B1" s="110" t="s">
        <v>81</v>
      </c>
      <c r="C1" s="111"/>
      <c r="D1" s="110" t="s">
        <v>88</v>
      </c>
      <c r="E1" s="113"/>
      <c r="F1" s="113" t="s">
        <v>87</v>
      </c>
      <c r="G1" s="111"/>
      <c r="H1" s="112" t="s">
        <v>82</v>
      </c>
      <c r="I1" s="112"/>
      <c r="K1" s="29" t="s">
        <v>14</v>
      </c>
      <c r="L1" s="31" t="s">
        <v>10</v>
      </c>
      <c r="M1" s="31" t="s">
        <v>11</v>
      </c>
      <c r="N1" s="28" t="s">
        <v>12</v>
      </c>
      <c r="P1" s="107" t="s">
        <v>1</v>
      </c>
      <c r="Q1" s="108"/>
      <c r="S1" s="109" t="s">
        <v>26</v>
      </c>
      <c r="T1" s="109"/>
      <c r="V1" s="107" t="s">
        <v>233</v>
      </c>
      <c r="W1" s="108"/>
      <c r="Y1" s="26"/>
      <c r="Z1" s="26" t="s">
        <v>20</v>
      </c>
      <c r="AA1" s="26" t="s">
        <v>22</v>
      </c>
    </row>
    <row r="2" spans="1:29" s="1" customFormat="1" ht="60">
      <c r="A2" s="108"/>
      <c r="B2" s="18" t="s">
        <v>98</v>
      </c>
      <c r="C2" s="18" t="s">
        <v>99</v>
      </c>
      <c r="D2" s="18" t="s">
        <v>10</v>
      </c>
      <c r="E2" s="18" t="s">
        <v>11</v>
      </c>
      <c r="F2" s="18" t="s">
        <v>10</v>
      </c>
      <c r="G2" s="18" t="s">
        <v>11</v>
      </c>
      <c r="H2" s="18" t="s">
        <v>83</v>
      </c>
      <c r="I2" s="18" t="s">
        <v>84</v>
      </c>
      <c r="J2" s="5"/>
      <c r="K2" s="27" t="s">
        <v>37</v>
      </c>
      <c r="L2" s="58">
        <v>191</v>
      </c>
      <c r="M2" s="58">
        <v>212</v>
      </c>
      <c r="N2" s="59">
        <v>0.05</v>
      </c>
      <c r="O2" s="5"/>
      <c r="P2" s="13" t="s">
        <v>73</v>
      </c>
      <c r="Q2" s="62">
        <v>40</v>
      </c>
      <c r="R2" s="5"/>
      <c r="S2" s="30" t="s">
        <v>255</v>
      </c>
      <c r="T2" s="58">
        <v>5</v>
      </c>
      <c r="U2" s="5"/>
      <c r="V2" s="13" t="s">
        <v>38</v>
      </c>
      <c r="W2" s="62">
        <v>20000</v>
      </c>
      <c r="X2" s="5"/>
      <c r="Y2" s="30" t="s">
        <v>15</v>
      </c>
      <c r="Z2" s="58">
        <v>10000</v>
      </c>
      <c r="AA2" s="58">
        <v>2000</v>
      </c>
    </row>
    <row r="3" spans="1:29" ht="45">
      <c r="A3" s="48" t="s">
        <v>227</v>
      </c>
      <c r="B3" s="18">
        <v>7</v>
      </c>
      <c r="C3" s="18">
        <v>3</v>
      </c>
      <c r="D3" s="18">
        <v>5</v>
      </c>
      <c r="E3" s="18">
        <v>294</v>
      </c>
      <c r="F3" s="18">
        <v>85</v>
      </c>
      <c r="G3" s="18">
        <v>70</v>
      </c>
      <c r="H3" s="18">
        <v>0.05</v>
      </c>
      <c r="I3" s="18">
        <v>4</v>
      </c>
      <c r="K3" s="27" t="s">
        <v>13</v>
      </c>
      <c r="L3" s="58">
        <v>226</v>
      </c>
      <c r="M3" s="58">
        <v>212</v>
      </c>
      <c r="N3" s="59">
        <v>2</v>
      </c>
      <c r="P3" s="13" t="s">
        <v>68</v>
      </c>
      <c r="Q3" s="62">
        <v>15</v>
      </c>
      <c r="S3" s="27" t="s">
        <v>181</v>
      </c>
      <c r="T3" s="59">
        <v>300</v>
      </c>
      <c r="V3" s="13" t="s">
        <v>39</v>
      </c>
      <c r="W3" s="62">
        <v>500</v>
      </c>
      <c r="Y3" s="30" t="s">
        <v>50</v>
      </c>
      <c r="Z3" s="58">
        <v>20000</v>
      </c>
      <c r="AA3" s="58">
        <v>2000</v>
      </c>
    </row>
    <row r="4" spans="1:29" ht="45">
      <c r="A4" s="46" t="s">
        <v>226</v>
      </c>
      <c r="B4" s="18">
        <v>7</v>
      </c>
      <c r="C4" s="18">
        <v>3</v>
      </c>
      <c r="D4" s="18">
        <v>5</v>
      </c>
      <c r="E4" s="18">
        <v>294</v>
      </c>
      <c r="F4" s="18">
        <v>85</v>
      </c>
      <c r="G4" s="18">
        <v>70</v>
      </c>
      <c r="H4" s="18">
        <v>6.2</v>
      </c>
      <c r="I4" s="18">
        <v>10</v>
      </c>
      <c r="J4" s="4"/>
      <c r="K4" s="30" t="s">
        <v>252</v>
      </c>
      <c r="L4" s="58">
        <v>175.8</v>
      </c>
      <c r="M4" s="58">
        <v>59</v>
      </c>
      <c r="N4" s="58">
        <v>0.9</v>
      </c>
      <c r="O4" s="4"/>
      <c r="P4" s="13" t="s">
        <v>253</v>
      </c>
      <c r="Q4" s="62">
        <v>1</v>
      </c>
      <c r="R4" s="4"/>
      <c r="S4" s="30" t="s">
        <v>183</v>
      </c>
      <c r="T4" s="58">
        <v>5</v>
      </c>
      <c r="U4" s="4"/>
      <c r="V4" s="13" t="s">
        <v>256</v>
      </c>
      <c r="W4" s="62">
        <v>100</v>
      </c>
      <c r="X4" s="4"/>
      <c r="Y4" s="30" t="s">
        <v>21</v>
      </c>
      <c r="Z4" s="58">
        <v>10000</v>
      </c>
      <c r="AA4" s="58">
        <v>200</v>
      </c>
    </row>
    <row r="5" spans="1:29" ht="30">
      <c r="A5" s="46" t="s">
        <v>225</v>
      </c>
      <c r="B5" s="18">
        <v>7</v>
      </c>
      <c r="C5" s="18">
        <v>4</v>
      </c>
      <c r="D5" s="13">
        <v>0</v>
      </c>
      <c r="E5" s="13">
        <v>295</v>
      </c>
      <c r="F5" s="13">
        <v>121.5</v>
      </c>
      <c r="G5" s="13">
        <v>102</v>
      </c>
      <c r="H5" s="13">
        <v>6.2</v>
      </c>
      <c r="I5" s="18">
        <v>10</v>
      </c>
      <c r="K5" s="27" t="s">
        <v>182</v>
      </c>
      <c r="L5" s="58">
        <v>250</v>
      </c>
      <c r="M5" s="58">
        <v>330</v>
      </c>
      <c r="N5" s="59">
        <v>0.05</v>
      </c>
      <c r="S5" s="30" t="s">
        <v>77</v>
      </c>
      <c r="T5" s="58">
        <v>300</v>
      </c>
      <c r="V5" s="13" t="s">
        <v>40</v>
      </c>
      <c r="W5" s="62">
        <v>900</v>
      </c>
    </row>
    <row r="6" spans="1:29" ht="65.45" customHeight="1">
      <c r="A6" s="46" t="s">
        <v>224</v>
      </c>
      <c r="B6" s="18" t="s">
        <v>265</v>
      </c>
      <c r="C6" s="18" t="s">
        <v>266</v>
      </c>
      <c r="D6" s="13" t="s">
        <v>267</v>
      </c>
      <c r="E6" s="13" t="s">
        <v>268</v>
      </c>
      <c r="F6" s="13" t="s">
        <v>269</v>
      </c>
      <c r="G6" s="13" t="s">
        <v>270</v>
      </c>
      <c r="H6" s="13" t="s">
        <v>271</v>
      </c>
      <c r="I6" s="18" t="s">
        <v>272</v>
      </c>
      <c r="K6" s="30" t="s">
        <v>251</v>
      </c>
      <c r="L6" s="39" t="s">
        <v>30</v>
      </c>
      <c r="M6" s="39" t="s">
        <v>30</v>
      </c>
      <c r="N6" s="60">
        <v>3.5</v>
      </c>
      <c r="P6" s="107" t="s">
        <v>7</v>
      </c>
      <c r="Q6" s="108"/>
      <c r="S6" s="30" t="s">
        <v>51</v>
      </c>
      <c r="T6" s="58">
        <v>1.5</v>
      </c>
      <c r="V6" s="18" t="s">
        <v>257</v>
      </c>
      <c r="W6" s="61">
        <v>10000</v>
      </c>
    </row>
    <row r="7" spans="1:29" ht="60">
      <c r="B7" s="63"/>
      <c r="C7" s="63"/>
      <c r="D7" s="63"/>
      <c r="E7" s="63"/>
      <c r="F7" s="63"/>
      <c r="G7" s="63"/>
      <c r="H7" s="63"/>
      <c r="I7" s="63"/>
      <c r="P7" s="13" t="s">
        <v>179</v>
      </c>
      <c r="Q7" s="62">
        <v>0.05</v>
      </c>
      <c r="S7" s="34"/>
      <c r="T7" s="34"/>
      <c r="V7" s="13" t="s">
        <v>41</v>
      </c>
      <c r="W7" s="62">
        <v>2500</v>
      </c>
      <c r="AC7"/>
    </row>
    <row r="8" spans="1:29" ht="45">
      <c r="B8" s="63"/>
      <c r="C8" s="63"/>
      <c r="D8" s="63"/>
      <c r="E8" s="63"/>
      <c r="F8" s="63"/>
      <c r="G8" s="63"/>
      <c r="H8" s="63"/>
      <c r="I8" s="63"/>
      <c r="P8" s="13" t="s">
        <v>254</v>
      </c>
      <c r="Q8" s="62">
        <v>1</v>
      </c>
      <c r="S8" s="109" t="s">
        <v>76</v>
      </c>
      <c r="T8" s="109"/>
      <c r="V8" s="13" t="s">
        <v>49</v>
      </c>
      <c r="W8" s="62">
        <v>500</v>
      </c>
      <c r="AC8"/>
    </row>
    <row r="9" spans="1:29" ht="45">
      <c r="B9" s="63"/>
      <c r="C9" s="63"/>
      <c r="D9" s="63"/>
      <c r="E9" s="63"/>
      <c r="F9" s="63"/>
      <c r="G9" s="63"/>
      <c r="H9" s="63"/>
      <c r="I9" s="63"/>
      <c r="P9" s="13" t="s">
        <v>184</v>
      </c>
      <c r="Q9" s="62">
        <v>-248</v>
      </c>
      <c r="S9" s="30" t="s">
        <v>231</v>
      </c>
      <c r="T9" s="58">
        <v>1</v>
      </c>
      <c r="AC9"/>
    </row>
    <row r="10" spans="1:29" ht="30">
      <c r="B10" s="63"/>
      <c r="C10" s="63"/>
      <c r="D10" s="63"/>
      <c r="E10" s="63"/>
      <c r="F10" s="63"/>
      <c r="G10" s="63"/>
      <c r="H10" s="63"/>
      <c r="I10" s="63"/>
      <c r="S10" s="30" t="s">
        <v>17</v>
      </c>
      <c r="T10" s="30">
        <v>3</v>
      </c>
    </row>
    <row r="11" spans="1:29">
      <c r="B11" s="63"/>
      <c r="C11" s="63"/>
      <c r="D11" s="63"/>
      <c r="E11" s="63"/>
      <c r="F11" s="63"/>
      <c r="G11" s="63"/>
      <c r="H11" s="63"/>
      <c r="I11" s="63"/>
    </row>
    <row r="12" spans="1:29">
      <c r="B12" s="63"/>
      <c r="C12" s="63"/>
      <c r="D12" s="63"/>
      <c r="E12" s="63"/>
      <c r="F12" s="63"/>
      <c r="G12" s="63"/>
      <c r="H12" s="63"/>
      <c r="I12" s="63"/>
    </row>
    <row r="13" spans="1:29">
      <c r="B13" s="63"/>
      <c r="C13" s="63"/>
      <c r="D13" s="63"/>
      <c r="E13" s="63"/>
      <c r="F13" s="63"/>
      <c r="G13" s="63"/>
      <c r="H13" s="63"/>
      <c r="I13" s="63"/>
    </row>
    <row r="14" spans="1:29">
      <c r="B14" s="63"/>
      <c r="C14" s="63"/>
      <c r="D14" s="63"/>
      <c r="E14" s="63"/>
      <c r="F14" s="63"/>
      <c r="G14" s="63"/>
      <c r="H14" s="63"/>
      <c r="I14" s="63"/>
    </row>
    <row r="15" spans="1:29">
      <c r="B15" s="63"/>
      <c r="C15" s="63"/>
      <c r="D15" s="63"/>
      <c r="E15" s="63"/>
      <c r="F15" s="63"/>
      <c r="G15" s="63"/>
      <c r="H15" s="63"/>
      <c r="I15" s="63"/>
    </row>
    <row r="16" spans="1:29">
      <c r="B16" s="63"/>
      <c r="C16" s="63"/>
      <c r="D16" s="63"/>
      <c r="E16" s="63"/>
      <c r="F16" s="63"/>
      <c r="G16" s="63"/>
      <c r="H16" s="63"/>
      <c r="I16" s="63"/>
    </row>
    <row r="17" spans="2:9">
      <c r="B17" s="63"/>
      <c r="C17" s="63"/>
      <c r="D17" s="63"/>
      <c r="E17" s="63"/>
      <c r="F17" s="63"/>
      <c r="G17" s="63"/>
      <c r="H17" s="63"/>
      <c r="I17" s="63"/>
    </row>
    <row r="18" spans="2:9">
      <c r="B18" s="63"/>
      <c r="C18" s="63"/>
      <c r="D18" s="63"/>
      <c r="E18" s="63"/>
      <c r="F18" s="63"/>
      <c r="G18" s="63"/>
      <c r="H18" s="63"/>
      <c r="I18" s="63"/>
    </row>
    <row r="19" spans="2:9">
      <c r="B19" s="63"/>
      <c r="C19" s="63"/>
      <c r="D19" s="63"/>
      <c r="E19" s="63"/>
      <c r="F19" s="63"/>
      <c r="G19" s="63"/>
      <c r="H19" s="63"/>
      <c r="I19" s="63"/>
    </row>
    <row r="20" spans="2:9">
      <c r="B20" s="63"/>
      <c r="C20" s="63"/>
      <c r="D20" s="63"/>
      <c r="E20" s="63"/>
      <c r="F20" s="63"/>
      <c r="G20" s="63"/>
      <c r="H20" s="63"/>
      <c r="I20" s="63"/>
    </row>
    <row r="21" spans="2:9">
      <c r="B21" s="63"/>
      <c r="C21" s="63"/>
      <c r="D21" s="63"/>
      <c r="E21" s="63"/>
      <c r="F21" s="63"/>
      <c r="G21" s="63"/>
      <c r="H21" s="63"/>
      <c r="I21" s="63"/>
    </row>
    <row r="22" spans="2:9">
      <c r="B22" s="63"/>
      <c r="C22" s="63"/>
      <c r="D22" s="63"/>
      <c r="E22" s="63"/>
      <c r="F22" s="63"/>
      <c r="G22" s="63"/>
      <c r="H22" s="63"/>
      <c r="I22" s="63"/>
    </row>
    <row r="23" spans="2:9">
      <c r="B23" s="63"/>
      <c r="C23" s="63"/>
      <c r="D23" s="63"/>
      <c r="E23" s="63"/>
      <c r="F23" s="63"/>
      <c r="G23" s="63"/>
      <c r="H23" s="63"/>
      <c r="I23" s="63"/>
    </row>
    <row r="24" spans="2:9">
      <c r="B24" s="63"/>
      <c r="C24" s="63"/>
      <c r="D24" s="63"/>
      <c r="E24" s="63"/>
      <c r="F24" s="63"/>
      <c r="G24" s="63"/>
      <c r="H24" s="63"/>
      <c r="I24" s="63"/>
    </row>
    <row r="25" spans="2:9">
      <c r="B25" s="63"/>
      <c r="C25" s="63"/>
      <c r="D25" s="63"/>
      <c r="E25" s="63"/>
      <c r="F25" s="63"/>
      <c r="G25" s="63"/>
      <c r="H25" s="63"/>
      <c r="I25" s="63"/>
    </row>
    <row r="26" spans="2:9">
      <c r="B26" s="63"/>
      <c r="C26" s="63"/>
      <c r="D26" s="63"/>
      <c r="E26" s="63"/>
      <c r="F26" s="63"/>
      <c r="G26" s="63"/>
      <c r="H26" s="63"/>
      <c r="I26" s="63"/>
    </row>
    <row r="27" spans="2:9">
      <c r="B27" s="63"/>
      <c r="C27" s="63"/>
      <c r="D27" s="63"/>
      <c r="E27" s="63"/>
      <c r="F27" s="63"/>
      <c r="G27" s="63"/>
      <c r="H27" s="63"/>
      <c r="I27" s="63"/>
    </row>
    <row r="28" spans="2:9">
      <c r="B28" s="63"/>
      <c r="C28" s="63"/>
      <c r="D28" s="63"/>
      <c r="E28" s="63"/>
      <c r="F28" s="63"/>
      <c r="G28" s="63"/>
      <c r="H28" s="63"/>
      <c r="I28" s="63"/>
    </row>
    <row r="29" spans="2:9">
      <c r="B29" s="63"/>
      <c r="C29" s="63"/>
      <c r="D29" s="63"/>
      <c r="E29" s="63"/>
      <c r="F29" s="63"/>
      <c r="G29" s="63"/>
      <c r="H29" s="63"/>
      <c r="I29" s="63"/>
    </row>
    <row r="30" spans="2:9">
      <c r="B30" s="63"/>
      <c r="C30" s="63"/>
      <c r="D30" s="63"/>
      <c r="E30" s="63"/>
      <c r="F30" s="63"/>
      <c r="G30" s="63"/>
      <c r="H30" s="63"/>
      <c r="I30" s="63"/>
    </row>
    <row r="31" spans="2:9">
      <c r="B31" s="63"/>
      <c r="C31" s="63"/>
      <c r="D31" s="63"/>
      <c r="E31" s="63"/>
      <c r="F31" s="63"/>
      <c r="G31" s="63"/>
      <c r="H31" s="63"/>
      <c r="I31" s="63"/>
    </row>
    <row r="32" spans="2:9">
      <c r="B32" s="63"/>
      <c r="C32" s="63"/>
      <c r="D32" s="63"/>
      <c r="E32" s="63"/>
      <c r="F32" s="63"/>
      <c r="G32" s="63"/>
      <c r="H32" s="63"/>
      <c r="I32" s="63"/>
    </row>
    <row r="33" spans="2:9">
      <c r="B33" s="63"/>
      <c r="C33" s="63"/>
      <c r="D33" s="63"/>
      <c r="E33" s="63"/>
      <c r="F33" s="63"/>
      <c r="G33" s="63"/>
      <c r="H33" s="63"/>
      <c r="I33" s="63"/>
    </row>
    <row r="34" spans="2:9">
      <c r="B34" s="63"/>
      <c r="C34" s="63"/>
      <c r="D34" s="63"/>
      <c r="E34" s="63"/>
      <c r="F34" s="63"/>
      <c r="G34" s="63"/>
      <c r="H34" s="63"/>
      <c r="I34" s="63"/>
    </row>
    <row r="35" spans="2:9">
      <c r="B35" s="63"/>
      <c r="C35" s="63"/>
      <c r="D35" s="63"/>
      <c r="E35" s="63"/>
      <c r="F35" s="63"/>
      <c r="G35" s="63"/>
      <c r="H35" s="63"/>
      <c r="I35" s="63"/>
    </row>
    <row r="36" spans="2:9">
      <c r="B36" s="63"/>
      <c r="C36" s="63"/>
      <c r="D36" s="63"/>
      <c r="E36" s="63"/>
      <c r="F36" s="63"/>
      <c r="G36" s="63"/>
      <c r="H36" s="63"/>
      <c r="I36" s="63"/>
    </row>
    <row r="37" spans="2:9">
      <c r="B37" s="63"/>
      <c r="C37" s="63"/>
      <c r="D37" s="63"/>
      <c r="E37" s="63"/>
      <c r="F37" s="63"/>
      <c r="G37" s="63"/>
      <c r="H37" s="63"/>
      <c r="I37" s="63"/>
    </row>
    <row r="38" spans="2:9">
      <c r="B38" s="63"/>
      <c r="C38" s="63"/>
      <c r="D38" s="63"/>
      <c r="E38" s="63"/>
      <c r="F38" s="63"/>
      <c r="G38" s="63"/>
      <c r="H38" s="63"/>
      <c r="I38" s="63"/>
    </row>
    <row r="39" spans="2:9">
      <c r="B39" s="63"/>
      <c r="C39" s="63"/>
      <c r="D39" s="63"/>
      <c r="E39" s="63"/>
      <c r="F39" s="63"/>
      <c r="G39" s="63"/>
      <c r="H39" s="63"/>
      <c r="I39" s="63"/>
    </row>
    <row r="40" spans="2:9">
      <c r="B40" s="63"/>
      <c r="C40" s="63"/>
      <c r="D40" s="63"/>
      <c r="E40" s="63"/>
      <c r="F40" s="63"/>
      <c r="G40" s="63"/>
      <c r="H40" s="63"/>
      <c r="I40" s="63"/>
    </row>
    <row r="41" spans="2:9">
      <c r="B41" s="63"/>
      <c r="C41" s="63"/>
      <c r="D41" s="63"/>
      <c r="E41" s="63"/>
      <c r="F41" s="63"/>
      <c r="G41" s="63"/>
      <c r="H41" s="63"/>
      <c r="I41" s="63"/>
    </row>
    <row r="42" spans="2:9">
      <c r="B42" s="63"/>
      <c r="C42" s="63"/>
      <c r="D42" s="63"/>
      <c r="E42" s="63"/>
      <c r="F42" s="63"/>
      <c r="G42" s="63"/>
      <c r="H42" s="63"/>
      <c r="I42" s="63"/>
    </row>
    <row r="43" spans="2:9">
      <c r="B43" s="63"/>
      <c r="C43" s="63"/>
      <c r="D43" s="63"/>
      <c r="E43" s="63"/>
      <c r="F43" s="63"/>
      <c r="G43" s="63"/>
      <c r="H43" s="63"/>
      <c r="I43" s="63"/>
    </row>
    <row r="44" spans="2:9">
      <c r="B44" s="63"/>
      <c r="C44" s="63"/>
      <c r="D44" s="63"/>
      <c r="E44" s="63"/>
      <c r="F44" s="63"/>
      <c r="G44" s="63"/>
      <c r="H44" s="63"/>
      <c r="I44" s="63"/>
    </row>
    <row r="45" spans="2:9">
      <c r="B45" s="63"/>
      <c r="C45" s="63"/>
      <c r="D45" s="63"/>
      <c r="E45" s="63"/>
      <c r="F45" s="63"/>
      <c r="G45" s="63"/>
      <c r="H45" s="63"/>
      <c r="I45" s="63"/>
    </row>
    <row r="46" spans="2:9">
      <c r="B46" s="63"/>
      <c r="C46" s="63"/>
      <c r="D46" s="63"/>
      <c r="E46" s="63"/>
      <c r="F46" s="63"/>
      <c r="G46" s="63"/>
      <c r="H46" s="63"/>
      <c r="I46" s="63"/>
    </row>
    <row r="47" spans="2:9">
      <c r="B47" s="63"/>
      <c r="C47" s="63"/>
      <c r="D47" s="63"/>
      <c r="E47" s="63"/>
      <c r="F47" s="63"/>
      <c r="G47" s="63"/>
      <c r="H47" s="63"/>
      <c r="I47" s="63"/>
    </row>
    <row r="48" spans="2:9">
      <c r="B48" s="63"/>
      <c r="C48" s="63"/>
      <c r="D48" s="63"/>
      <c r="E48" s="63"/>
      <c r="F48" s="63"/>
      <c r="G48" s="63"/>
      <c r="H48" s="63"/>
      <c r="I48" s="63"/>
    </row>
    <row r="49" spans="2:9">
      <c r="B49" s="63"/>
      <c r="C49" s="63"/>
      <c r="D49" s="63"/>
      <c r="E49" s="63"/>
      <c r="F49" s="63"/>
      <c r="G49" s="63"/>
      <c r="H49" s="63"/>
      <c r="I49" s="63"/>
    </row>
    <row r="50" spans="2:9">
      <c r="B50" s="63"/>
      <c r="C50" s="63"/>
      <c r="D50" s="63"/>
      <c r="E50" s="63"/>
      <c r="F50" s="63"/>
      <c r="G50" s="63"/>
      <c r="H50" s="63"/>
      <c r="I50" s="63"/>
    </row>
    <row r="51" spans="2:9">
      <c r="B51" s="63"/>
      <c r="C51" s="63"/>
      <c r="D51" s="63"/>
      <c r="E51" s="63"/>
      <c r="F51" s="63"/>
      <c r="G51" s="63"/>
      <c r="H51" s="63"/>
      <c r="I51" s="63"/>
    </row>
    <row r="52" spans="2:9">
      <c r="B52" s="63"/>
      <c r="C52" s="63"/>
      <c r="D52" s="63"/>
      <c r="E52" s="63"/>
      <c r="F52" s="63"/>
      <c r="G52" s="63"/>
      <c r="H52" s="63"/>
      <c r="I52" s="63"/>
    </row>
    <row r="53" spans="2:9">
      <c r="B53" s="63"/>
      <c r="C53" s="63"/>
      <c r="D53" s="63"/>
      <c r="E53" s="63"/>
      <c r="F53" s="63"/>
      <c r="G53" s="63"/>
      <c r="H53" s="63"/>
      <c r="I53" s="63"/>
    </row>
    <row r="54" spans="2:9">
      <c r="B54" s="63"/>
      <c r="C54" s="63"/>
      <c r="D54" s="63"/>
      <c r="E54" s="63"/>
      <c r="F54" s="63"/>
      <c r="G54" s="63"/>
      <c r="H54" s="63"/>
      <c r="I54" s="63"/>
    </row>
    <row r="55" spans="2:9">
      <c r="B55" s="63"/>
      <c r="C55" s="63"/>
      <c r="D55" s="63"/>
      <c r="E55" s="63"/>
      <c r="F55" s="63"/>
      <c r="G55" s="63"/>
      <c r="H55" s="63"/>
      <c r="I55" s="63"/>
    </row>
    <row r="56" spans="2:9">
      <c r="B56" s="63"/>
      <c r="C56" s="63"/>
      <c r="D56" s="63"/>
      <c r="E56" s="63"/>
      <c r="F56" s="63"/>
      <c r="G56" s="63"/>
      <c r="H56" s="63"/>
      <c r="I56" s="63"/>
    </row>
    <row r="57" spans="2:9">
      <c r="B57" s="63"/>
      <c r="C57" s="63"/>
      <c r="D57" s="63"/>
      <c r="E57" s="63"/>
      <c r="F57" s="63"/>
      <c r="G57" s="63"/>
      <c r="H57" s="63"/>
      <c r="I57" s="63"/>
    </row>
    <row r="58" spans="2:9">
      <c r="B58" s="63"/>
      <c r="C58" s="63"/>
      <c r="D58" s="63"/>
      <c r="E58" s="63"/>
      <c r="F58" s="63"/>
      <c r="G58" s="63"/>
      <c r="H58" s="63"/>
      <c r="I58" s="63"/>
    </row>
    <row r="59" spans="2:9">
      <c r="B59" s="63"/>
      <c r="C59" s="63"/>
      <c r="D59" s="63"/>
      <c r="E59" s="63"/>
      <c r="F59" s="63"/>
      <c r="G59" s="63"/>
      <c r="H59" s="63"/>
      <c r="I59" s="63"/>
    </row>
    <row r="60" spans="2:9">
      <c r="B60" s="63"/>
      <c r="C60" s="63"/>
      <c r="D60" s="63"/>
      <c r="E60" s="63"/>
      <c r="F60" s="63"/>
      <c r="G60" s="63"/>
      <c r="H60" s="63"/>
      <c r="I60" s="63"/>
    </row>
    <row r="61" spans="2:9">
      <c r="B61" s="63"/>
      <c r="C61" s="63"/>
      <c r="D61" s="63"/>
      <c r="E61" s="63"/>
      <c r="F61" s="63"/>
      <c r="G61" s="63"/>
      <c r="H61" s="63"/>
      <c r="I61" s="63"/>
    </row>
    <row r="62" spans="2:9">
      <c r="B62" s="63"/>
      <c r="C62" s="63"/>
      <c r="D62" s="63"/>
      <c r="E62" s="63"/>
      <c r="F62" s="63"/>
      <c r="G62" s="63"/>
      <c r="H62" s="63"/>
      <c r="I62" s="63"/>
    </row>
    <row r="63" spans="2:9">
      <c r="B63" s="63"/>
      <c r="C63" s="63"/>
      <c r="D63" s="63"/>
      <c r="E63" s="63"/>
      <c r="F63" s="63"/>
      <c r="G63" s="63"/>
      <c r="H63" s="63"/>
      <c r="I63" s="63"/>
    </row>
    <row r="64" spans="2:9">
      <c r="B64" s="63"/>
      <c r="C64" s="63"/>
      <c r="D64" s="63"/>
      <c r="E64" s="63"/>
      <c r="F64" s="63"/>
      <c r="G64" s="63"/>
      <c r="H64" s="63"/>
      <c r="I64" s="63"/>
    </row>
    <row r="65" spans="2:9">
      <c r="B65" s="63"/>
      <c r="C65" s="63"/>
      <c r="D65" s="63"/>
      <c r="E65" s="63"/>
      <c r="F65" s="63"/>
      <c r="G65" s="63"/>
      <c r="H65" s="63"/>
      <c r="I65" s="63"/>
    </row>
    <row r="66" spans="2:9">
      <c r="B66" s="63"/>
      <c r="C66" s="63"/>
      <c r="D66" s="63"/>
      <c r="E66" s="63"/>
      <c r="F66" s="63"/>
      <c r="G66" s="63"/>
      <c r="H66" s="63"/>
      <c r="I66" s="63"/>
    </row>
    <row r="67" spans="2:9">
      <c r="B67" s="63"/>
      <c r="C67" s="63"/>
      <c r="D67" s="63"/>
      <c r="E67" s="63"/>
      <c r="F67" s="63"/>
      <c r="G67" s="63"/>
      <c r="H67" s="63"/>
      <c r="I67" s="63"/>
    </row>
    <row r="68" spans="2:9">
      <c r="B68" s="63"/>
      <c r="C68" s="63"/>
      <c r="D68" s="63"/>
      <c r="E68" s="63"/>
      <c r="F68" s="63"/>
      <c r="G68" s="63"/>
      <c r="H68" s="63"/>
      <c r="I68" s="63"/>
    </row>
    <row r="69" spans="2:9">
      <c r="B69" s="63"/>
      <c r="C69" s="63"/>
      <c r="D69" s="63"/>
      <c r="E69" s="63"/>
      <c r="F69" s="63"/>
      <c r="G69" s="63"/>
      <c r="H69" s="63"/>
      <c r="I69" s="63"/>
    </row>
    <row r="70" spans="2:9">
      <c r="B70" s="63"/>
      <c r="C70" s="63"/>
      <c r="D70" s="63"/>
      <c r="E70" s="63"/>
      <c r="F70" s="63"/>
      <c r="G70" s="63"/>
      <c r="H70" s="63"/>
      <c r="I70" s="63"/>
    </row>
    <row r="71" spans="2:9">
      <c r="B71" s="63"/>
      <c r="C71" s="63"/>
      <c r="D71" s="63"/>
      <c r="E71" s="63"/>
      <c r="F71" s="63"/>
      <c r="G71" s="63"/>
      <c r="H71" s="63"/>
      <c r="I71" s="63"/>
    </row>
    <row r="72" spans="2:9">
      <c r="B72" s="63"/>
      <c r="C72" s="63"/>
      <c r="D72" s="63"/>
      <c r="E72" s="63"/>
      <c r="F72" s="63"/>
      <c r="G72" s="63"/>
      <c r="H72" s="63"/>
      <c r="I72" s="63"/>
    </row>
    <row r="73" spans="2:9">
      <c r="B73" s="63"/>
      <c r="C73" s="63"/>
      <c r="D73" s="63"/>
      <c r="E73" s="63"/>
      <c r="F73" s="63"/>
      <c r="G73" s="63"/>
      <c r="H73" s="63"/>
      <c r="I73" s="63"/>
    </row>
    <row r="74" spans="2:9">
      <c r="B74" s="63"/>
      <c r="C74" s="63"/>
      <c r="D74" s="63"/>
      <c r="E74" s="63"/>
      <c r="F74" s="63"/>
      <c r="G74" s="63"/>
      <c r="H74" s="63"/>
      <c r="I74" s="63"/>
    </row>
    <row r="75" spans="2:9">
      <c r="B75" s="63"/>
      <c r="C75" s="63"/>
      <c r="D75" s="63"/>
      <c r="E75" s="63"/>
      <c r="F75" s="63"/>
      <c r="G75" s="63"/>
      <c r="H75" s="63"/>
      <c r="I75" s="63"/>
    </row>
    <row r="76" spans="2:9">
      <c r="B76" s="63"/>
      <c r="C76" s="63"/>
      <c r="D76" s="63"/>
      <c r="E76" s="63"/>
      <c r="F76" s="63"/>
      <c r="G76" s="63"/>
      <c r="H76" s="63"/>
      <c r="I76" s="63"/>
    </row>
    <row r="77" spans="2:9">
      <c r="B77" s="63"/>
      <c r="C77" s="63"/>
      <c r="D77" s="63"/>
      <c r="E77" s="63"/>
      <c r="F77" s="63"/>
      <c r="G77" s="63"/>
      <c r="H77" s="63"/>
      <c r="I77" s="63"/>
    </row>
    <row r="78" spans="2:9">
      <c r="B78" s="63"/>
      <c r="C78" s="63"/>
      <c r="D78" s="63"/>
      <c r="E78" s="63"/>
      <c r="F78" s="63"/>
      <c r="G78" s="63"/>
      <c r="H78" s="63"/>
      <c r="I78" s="63"/>
    </row>
    <row r="79" spans="2:9">
      <c r="B79" s="63"/>
      <c r="C79" s="63"/>
      <c r="D79" s="63"/>
      <c r="E79" s="63"/>
      <c r="F79" s="63"/>
      <c r="G79" s="63"/>
      <c r="H79" s="63"/>
      <c r="I79" s="63"/>
    </row>
    <row r="80" spans="2:9">
      <c r="B80" s="63"/>
      <c r="C80" s="63"/>
      <c r="D80" s="63"/>
      <c r="E80" s="63"/>
      <c r="F80" s="63"/>
      <c r="G80" s="63"/>
      <c r="H80" s="63"/>
      <c r="I80" s="63"/>
    </row>
    <row r="81" spans="2:9">
      <c r="B81" s="63"/>
      <c r="C81" s="63"/>
      <c r="D81" s="63"/>
      <c r="E81" s="63"/>
      <c r="F81" s="63"/>
      <c r="G81" s="63"/>
      <c r="H81" s="63"/>
      <c r="I81" s="63"/>
    </row>
    <row r="82" spans="2:9">
      <c r="B82" s="63"/>
      <c r="C82" s="63"/>
      <c r="D82" s="63"/>
      <c r="E82" s="63"/>
      <c r="F82" s="63"/>
      <c r="G82" s="63"/>
      <c r="H82" s="63"/>
      <c r="I82" s="63"/>
    </row>
    <row r="83" spans="2:9">
      <c r="B83" s="63"/>
      <c r="C83" s="63"/>
      <c r="D83" s="63"/>
      <c r="E83" s="63"/>
      <c r="F83" s="63"/>
      <c r="G83" s="63"/>
      <c r="H83" s="63"/>
      <c r="I83" s="63"/>
    </row>
    <row r="84" spans="2:9">
      <c r="B84" s="63"/>
      <c r="C84" s="63"/>
      <c r="D84" s="63"/>
      <c r="E84" s="63"/>
      <c r="F84" s="63"/>
      <c r="G84" s="63"/>
      <c r="H84" s="63"/>
      <c r="I84" s="63"/>
    </row>
    <row r="85" spans="2:9">
      <c r="B85" s="63"/>
      <c r="C85" s="63"/>
      <c r="D85" s="63"/>
      <c r="E85" s="63"/>
      <c r="F85" s="63"/>
      <c r="G85" s="63"/>
      <c r="H85" s="63"/>
      <c r="I85" s="63"/>
    </row>
    <row r="86" spans="2:9">
      <c r="B86" s="63"/>
      <c r="C86" s="63"/>
      <c r="D86" s="63"/>
      <c r="E86" s="63"/>
      <c r="F86" s="63"/>
      <c r="G86" s="63"/>
      <c r="H86" s="63"/>
      <c r="I86" s="63"/>
    </row>
    <row r="87" spans="2:9">
      <c r="B87" s="63"/>
      <c r="C87" s="63"/>
      <c r="D87" s="63"/>
      <c r="E87" s="63"/>
      <c r="F87" s="63"/>
      <c r="G87" s="63"/>
      <c r="H87" s="63"/>
      <c r="I87" s="63"/>
    </row>
    <row r="88" spans="2:9">
      <c r="B88" s="63"/>
      <c r="C88" s="63"/>
      <c r="D88" s="63"/>
      <c r="E88" s="63"/>
      <c r="F88" s="63"/>
      <c r="G88" s="63"/>
      <c r="H88" s="63"/>
      <c r="I88" s="63"/>
    </row>
    <row r="89" spans="2:9">
      <c r="B89" s="63"/>
      <c r="C89" s="63"/>
      <c r="D89" s="63"/>
      <c r="E89" s="63"/>
      <c r="F89" s="63"/>
      <c r="G89" s="63"/>
      <c r="H89" s="63"/>
      <c r="I89" s="63"/>
    </row>
    <row r="90" spans="2:9">
      <c r="B90" s="63"/>
      <c r="C90" s="63"/>
      <c r="D90" s="63"/>
      <c r="E90" s="63"/>
      <c r="F90" s="63"/>
      <c r="G90" s="63"/>
      <c r="H90" s="63"/>
      <c r="I90" s="63"/>
    </row>
    <row r="91" spans="2:9">
      <c r="B91" s="63"/>
      <c r="C91" s="63"/>
      <c r="D91" s="63"/>
      <c r="E91" s="63"/>
      <c r="F91" s="63"/>
      <c r="G91" s="63"/>
      <c r="H91" s="63"/>
      <c r="I91" s="63"/>
    </row>
    <row r="92" spans="2:9">
      <c r="B92" s="63"/>
      <c r="C92" s="63"/>
      <c r="D92" s="63"/>
      <c r="E92" s="63"/>
      <c r="F92" s="63"/>
      <c r="G92" s="63"/>
      <c r="H92" s="63"/>
      <c r="I92" s="63"/>
    </row>
    <row r="93" spans="2:9">
      <c r="B93" s="63"/>
      <c r="C93" s="63"/>
      <c r="D93" s="63"/>
      <c r="E93" s="63"/>
      <c r="F93" s="63"/>
      <c r="G93" s="63"/>
      <c r="H93" s="63"/>
      <c r="I93" s="63"/>
    </row>
    <row r="94" spans="2:9">
      <c r="B94" s="63"/>
      <c r="C94" s="63"/>
      <c r="D94" s="63"/>
      <c r="E94" s="63"/>
      <c r="F94" s="63"/>
      <c r="G94" s="63"/>
      <c r="H94" s="63"/>
      <c r="I94" s="63"/>
    </row>
    <row r="95" spans="2:9">
      <c r="B95" s="63"/>
      <c r="C95" s="63"/>
      <c r="D95" s="63"/>
      <c r="E95" s="63"/>
      <c r="F95" s="63"/>
      <c r="G95" s="63"/>
      <c r="H95" s="63"/>
      <c r="I95" s="63"/>
    </row>
    <row r="96" spans="2:9">
      <c r="B96" s="63"/>
      <c r="C96" s="63"/>
      <c r="D96" s="63"/>
      <c r="E96" s="63"/>
      <c r="F96" s="63"/>
      <c r="G96" s="63"/>
      <c r="H96" s="63"/>
      <c r="I96" s="63"/>
    </row>
    <row r="97" spans="2:9">
      <c r="B97" s="63"/>
      <c r="C97" s="63"/>
      <c r="D97" s="63"/>
      <c r="E97" s="63"/>
      <c r="F97" s="63"/>
      <c r="G97" s="63"/>
      <c r="H97" s="63"/>
      <c r="I97" s="63"/>
    </row>
    <row r="98" spans="2:9">
      <c r="B98" s="63"/>
      <c r="C98" s="63"/>
      <c r="D98" s="63"/>
      <c r="E98" s="63"/>
      <c r="F98" s="63"/>
      <c r="G98" s="63"/>
      <c r="H98" s="63"/>
      <c r="I98" s="63"/>
    </row>
    <row r="99" spans="2:9">
      <c r="B99" s="63"/>
      <c r="C99" s="63"/>
      <c r="D99" s="63"/>
      <c r="E99" s="63"/>
      <c r="F99" s="63"/>
      <c r="G99" s="63"/>
      <c r="H99" s="63"/>
      <c r="I99" s="63"/>
    </row>
    <row r="100" spans="2:9">
      <c r="B100" s="63"/>
      <c r="C100" s="63"/>
      <c r="D100" s="63"/>
      <c r="E100" s="63"/>
      <c r="F100" s="63"/>
      <c r="G100" s="63"/>
      <c r="H100" s="63"/>
      <c r="I100" s="63"/>
    </row>
    <row r="101" spans="2:9">
      <c r="B101" s="63"/>
      <c r="C101" s="63"/>
      <c r="D101" s="63"/>
      <c r="E101" s="63"/>
      <c r="F101" s="63"/>
      <c r="G101" s="63"/>
      <c r="H101" s="63"/>
      <c r="I101" s="63"/>
    </row>
    <row r="102" spans="2:9">
      <c r="B102" s="63"/>
      <c r="C102" s="63"/>
      <c r="D102" s="63"/>
      <c r="E102" s="63"/>
      <c r="F102" s="63"/>
      <c r="G102" s="63"/>
      <c r="H102" s="63"/>
      <c r="I102" s="63"/>
    </row>
    <row r="103" spans="2:9">
      <c r="B103" s="63"/>
      <c r="C103" s="63"/>
      <c r="D103" s="63"/>
      <c r="E103" s="63"/>
      <c r="F103" s="63"/>
      <c r="G103" s="63"/>
      <c r="H103" s="63"/>
      <c r="I103" s="63"/>
    </row>
    <row r="104" spans="2:9">
      <c r="B104" s="63"/>
      <c r="C104" s="63"/>
      <c r="D104" s="63"/>
      <c r="E104" s="63"/>
      <c r="F104" s="63"/>
      <c r="G104" s="63"/>
      <c r="H104" s="63"/>
      <c r="I104" s="63"/>
    </row>
    <row r="105" spans="2:9">
      <c r="B105" s="63"/>
      <c r="C105" s="63"/>
      <c r="D105" s="63"/>
      <c r="E105" s="63"/>
      <c r="F105" s="63"/>
      <c r="G105" s="63"/>
      <c r="H105" s="63"/>
      <c r="I105" s="63"/>
    </row>
    <row r="106" spans="2:9">
      <c r="B106" s="63"/>
      <c r="C106" s="63"/>
      <c r="D106" s="63"/>
      <c r="E106" s="63"/>
      <c r="F106" s="63"/>
      <c r="G106" s="63"/>
      <c r="H106" s="63"/>
      <c r="I106" s="63"/>
    </row>
    <row r="107" spans="2:9">
      <c r="B107" s="63"/>
      <c r="C107" s="63"/>
      <c r="D107" s="63"/>
      <c r="E107" s="63"/>
      <c r="F107" s="63"/>
      <c r="G107" s="63"/>
      <c r="H107" s="63"/>
      <c r="I107" s="63"/>
    </row>
    <row r="108" spans="2:9">
      <c r="B108" s="63"/>
      <c r="C108" s="63"/>
      <c r="D108" s="63"/>
      <c r="E108" s="63"/>
      <c r="F108" s="63"/>
      <c r="G108" s="63"/>
      <c r="H108" s="63"/>
      <c r="I108" s="63"/>
    </row>
    <row r="109" spans="2:9">
      <c r="B109" s="63"/>
      <c r="C109" s="63"/>
      <c r="D109" s="63"/>
      <c r="E109" s="63"/>
      <c r="F109" s="63"/>
      <c r="G109" s="63"/>
      <c r="H109" s="63"/>
      <c r="I109" s="63"/>
    </row>
    <row r="110" spans="2:9">
      <c r="B110" s="63"/>
      <c r="C110" s="63"/>
      <c r="D110" s="63"/>
      <c r="E110" s="63"/>
      <c r="F110" s="63"/>
      <c r="G110" s="63"/>
      <c r="H110" s="63"/>
      <c r="I110" s="63"/>
    </row>
    <row r="111" spans="2:9">
      <c r="B111" s="63"/>
      <c r="C111" s="63"/>
      <c r="D111" s="63"/>
      <c r="E111" s="63"/>
      <c r="F111" s="63"/>
      <c r="G111" s="63"/>
      <c r="H111" s="63"/>
      <c r="I111" s="63"/>
    </row>
    <row r="112" spans="2:9">
      <c r="B112" s="63"/>
      <c r="C112" s="63"/>
      <c r="D112" s="63"/>
      <c r="E112" s="63"/>
      <c r="F112" s="63"/>
      <c r="G112" s="63"/>
      <c r="H112" s="63"/>
      <c r="I112" s="63"/>
    </row>
    <row r="113" spans="2:9">
      <c r="B113" s="63"/>
      <c r="C113" s="63"/>
      <c r="D113" s="63"/>
      <c r="E113" s="63"/>
      <c r="F113" s="63"/>
      <c r="G113" s="63"/>
      <c r="H113" s="63"/>
      <c r="I113" s="63"/>
    </row>
    <row r="114" spans="2:9">
      <c r="B114" s="63"/>
      <c r="C114" s="63"/>
      <c r="D114" s="63"/>
      <c r="E114" s="63"/>
      <c r="F114" s="63"/>
      <c r="G114" s="63"/>
      <c r="H114" s="63"/>
      <c r="I114" s="63"/>
    </row>
    <row r="115" spans="2:9">
      <c r="B115" s="63"/>
      <c r="C115" s="63"/>
      <c r="D115" s="63"/>
      <c r="E115" s="63"/>
      <c r="F115" s="63"/>
      <c r="G115" s="63"/>
      <c r="H115" s="63"/>
      <c r="I115" s="63"/>
    </row>
    <row r="116" spans="2:9">
      <c r="B116" s="63"/>
      <c r="C116" s="63"/>
      <c r="D116" s="63"/>
      <c r="E116" s="63"/>
      <c r="F116" s="63"/>
      <c r="G116" s="63"/>
      <c r="H116" s="63"/>
      <c r="I116" s="63"/>
    </row>
    <row r="117" spans="2:9">
      <c r="B117" s="63"/>
      <c r="C117" s="63"/>
      <c r="D117" s="63"/>
      <c r="E117" s="63"/>
      <c r="F117" s="63"/>
      <c r="G117" s="63"/>
      <c r="H117" s="63"/>
      <c r="I117" s="63"/>
    </row>
    <row r="118" spans="2:9">
      <c r="B118" s="63"/>
      <c r="C118" s="63"/>
      <c r="D118" s="63"/>
      <c r="E118" s="63"/>
      <c r="F118" s="63"/>
      <c r="G118" s="63"/>
      <c r="H118" s="63"/>
      <c r="I118" s="63"/>
    </row>
    <row r="119" spans="2:9">
      <c r="B119" s="63"/>
      <c r="C119" s="63"/>
      <c r="D119" s="63"/>
      <c r="E119" s="63"/>
      <c r="F119" s="63"/>
      <c r="G119" s="63"/>
      <c r="H119" s="63"/>
      <c r="I119" s="63"/>
    </row>
    <row r="120" spans="2:9">
      <c r="B120" s="63"/>
      <c r="C120" s="63"/>
      <c r="D120" s="63"/>
      <c r="E120" s="63"/>
      <c r="F120" s="63"/>
      <c r="G120" s="63"/>
      <c r="H120" s="63"/>
      <c r="I120" s="63"/>
    </row>
    <row r="121" spans="2:9">
      <c r="B121" s="63"/>
      <c r="C121" s="63"/>
      <c r="D121" s="63"/>
      <c r="E121" s="63"/>
      <c r="F121" s="63"/>
      <c r="G121" s="63"/>
      <c r="H121" s="63"/>
      <c r="I121" s="63"/>
    </row>
    <row r="122" spans="2:9">
      <c r="B122" s="63"/>
      <c r="C122" s="63"/>
      <c r="D122" s="63"/>
      <c r="E122" s="63"/>
      <c r="F122" s="63"/>
      <c r="G122" s="63"/>
      <c r="H122" s="63"/>
      <c r="I122" s="63"/>
    </row>
    <row r="123" spans="2:9">
      <c r="B123" s="63"/>
      <c r="C123" s="63"/>
      <c r="D123" s="63"/>
      <c r="E123" s="63"/>
      <c r="F123" s="63"/>
      <c r="G123" s="63"/>
      <c r="H123" s="63"/>
      <c r="I123" s="63"/>
    </row>
    <row r="124" spans="2:9">
      <c r="B124" s="63"/>
      <c r="C124" s="63"/>
      <c r="D124" s="63"/>
      <c r="E124" s="63"/>
      <c r="F124" s="63"/>
      <c r="G124" s="63"/>
      <c r="H124" s="63"/>
      <c r="I124" s="63"/>
    </row>
    <row r="125" spans="2:9">
      <c r="B125" s="63"/>
      <c r="C125" s="63"/>
      <c r="D125" s="63"/>
      <c r="E125" s="63"/>
      <c r="F125" s="63"/>
      <c r="G125" s="63"/>
      <c r="H125" s="63"/>
      <c r="I125" s="63"/>
    </row>
    <row r="126" spans="2:9">
      <c r="B126" s="63"/>
      <c r="C126" s="63"/>
      <c r="D126" s="63"/>
      <c r="E126" s="63"/>
      <c r="F126" s="63"/>
      <c r="G126" s="63"/>
      <c r="H126" s="63"/>
      <c r="I126" s="63"/>
    </row>
    <row r="127" spans="2:9">
      <c r="B127" s="63"/>
      <c r="C127" s="63"/>
      <c r="D127" s="63"/>
      <c r="E127" s="63"/>
      <c r="F127" s="63"/>
      <c r="G127" s="63"/>
      <c r="H127" s="63"/>
      <c r="I127" s="63"/>
    </row>
    <row r="128" spans="2:9">
      <c r="B128" s="63"/>
      <c r="C128" s="63"/>
      <c r="D128" s="63"/>
      <c r="E128" s="63"/>
      <c r="F128" s="63"/>
      <c r="G128" s="63"/>
      <c r="H128" s="63"/>
      <c r="I128" s="63"/>
    </row>
    <row r="129" spans="2:9">
      <c r="B129" s="63"/>
      <c r="C129" s="63"/>
      <c r="D129" s="63"/>
      <c r="E129" s="63"/>
      <c r="F129" s="63"/>
      <c r="G129" s="63"/>
      <c r="H129" s="63"/>
      <c r="I129" s="63"/>
    </row>
    <row r="130" spans="2:9">
      <c r="B130" s="63"/>
      <c r="C130" s="63"/>
      <c r="D130" s="63"/>
      <c r="E130" s="63"/>
      <c r="F130" s="63"/>
      <c r="G130" s="63"/>
      <c r="H130" s="63"/>
      <c r="I130" s="63"/>
    </row>
    <row r="131" spans="2:9">
      <c r="B131" s="63"/>
      <c r="C131" s="63"/>
      <c r="D131" s="63"/>
      <c r="E131" s="63"/>
      <c r="F131" s="63"/>
      <c r="G131" s="63"/>
      <c r="H131" s="63"/>
      <c r="I131" s="63"/>
    </row>
    <row r="132" spans="2:9">
      <c r="B132" s="63"/>
      <c r="C132" s="63"/>
      <c r="D132" s="63"/>
      <c r="E132" s="63"/>
      <c r="F132" s="63"/>
      <c r="G132" s="63"/>
      <c r="H132" s="63"/>
      <c r="I132" s="63"/>
    </row>
    <row r="133" spans="2:9">
      <c r="B133" s="63"/>
      <c r="C133" s="63"/>
      <c r="D133" s="63"/>
      <c r="E133" s="63"/>
      <c r="F133" s="63"/>
      <c r="G133" s="63"/>
      <c r="H133" s="63"/>
      <c r="I133" s="63"/>
    </row>
    <row r="134" spans="2:9">
      <c r="B134" s="63"/>
      <c r="C134" s="63"/>
      <c r="D134" s="63"/>
      <c r="E134" s="63"/>
      <c r="F134" s="63"/>
      <c r="G134" s="63"/>
      <c r="H134" s="63"/>
      <c r="I134" s="63"/>
    </row>
    <row r="135" spans="2:9">
      <c r="B135" s="63"/>
      <c r="C135" s="63"/>
      <c r="D135" s="63"/>
      <c r="E135" s="63"/>
      <c r="F135" s="63"/>
      <c r="G135" s="63"/>
      <c r="H135" s="63"/>
      <c r="I135" s="63"/>
    </row>
    <row r="136" spans="2:9">
      <c r="B136" s="63"/>
      <c r="C136" s="63"/>
      <c r="D136" s="63"/>
      <c r="E136" s="63"/>
      <c r="F136" s="63"/>
      <c r="G136" s="63"/>
      <c r="H136" s="63"/>
      <c r="I136" s="63"/>
    </row>
    <row r="137" spans="2:9">
      <c r="B137" s="63"/>
      <c r="C137" s="63"/>
      <c r="D137" s="63"/>
      <c r="E137" s="63"/>
      <c r="F137" s="63"/>
      <c r="G137" s="63"/>
      <c r="H137" s="63"/>
      <c r="I137" s="63"/>
    </row>
    <row r="138" spans="2:9">
      <c r="B138" s="63"/>
      <c r="C138" s="63"/>
      <c r="D138" s="63"/>
      <c r="E138" s="63"/>
      <c r="F138" s="63"/>
      <c r="G138" s="63"/>
      <c r="H138" s="63"/>
      <c r="I138" s="63"/>
    </row>
    <row r="139" spans="2:9">
      <c r="B139" s="63"/>
      <c r="C139" s="63"/>
      <c r="D139" s="63"/>
      <c r="E139" s="63"/>
      <c r="F139" s="63"/>
      <c r="G139" s="63"/>
      <c r="H139" s="63"/>
      <c r="I139" s="63"/>
    </row>
    <row r="140" spans="2:9">
      <c r="B140" s="63"/>
      <c r="C140" s="63"/>
      <c r="D140" s="63"/>
      <c r="E140" s="63"/>
      <c r="F140" s="63"/>
      <c r="G140" s="63"/>
      <c r="H140" s="63"/>
      <c r="I140" s="63"/>
    </row>
    <row r="141" spans="2:9">
      <c r="B141" s="63"/>
      <c r="C141" s="63"/>
      <c r="D141" s="63"/>
      <c r="E141" s="63"/>
      <c r="F141" s="63"/>
      <c r="G141" s="63"/>
      <c r="H141" s="63"/>
      <c r="I141" s="63"/>
    </row>
    <row r="142" spans="2:9">
      <c r="B142" s="63"/>
      <c r="C142" s="63"/>
      <c r="D142" s="63"/>
      <c r="E142" s="63"/>
      <c r="F142" s="63"/>
      <c r="G142" s="63"/>
      <c r="H142" s="63"/>
      <c r="I142" s="63"/>
    </row>
    <row r="143" spans="2:9">
      <c r="B143" s="63"/>
      <c r="C143" s="63"/>
      <c r="D143" s="63"/>
      <c r="E143" s="63"/>
      <c r="F143" s="63"/>
      <c r="G143" s="63"/>
      <c r="H143" s="63"/>
      <c r="I143" s="63"/>
    </row>
    <row r="144" spans="2:9">
      <c r="B144" s="63"/>
      <c r="C144" s="63"/>
      <c r="D144" s="63"/>
      <c r="E144" s="63"/>
      <c r="F144" s="63"/>
      <c r="G144" s="63"/>
      <c r="H144" s="63"/>
      <c r="I144" s="63"/>
    </row>
    <row r="145" spans="2:9">
      <c r="B145" s="63"/>
      <c r="C145" s="63"/>
      <c r="D145" s="63"/>
      <c r="E145" s="63"/>
      <c r="F145" s="63"/>
      <c r="G145" s="63"/>
      <c r="H145" s="63"/>
      <c r="I145" s="63"/>
    </row>
    <row r="146" spans="2:9">
      <c r="B146" s="63"/>
      <c r="C146" s="63"/>
      <c r="D146" s="63"/>
      <c r="E146" s="63"/>
      <c r="F146" s="63"/>
      <c r="G146" s="63"/>
      <c r="H146" s="63"/>
      <c r="I146" s="63"/>
    </row>
    <row r="147" spans="2:9">
      <c r="B147" s="63"/>
      <c r="C147" s="63"/>
      <c r="D147" s="63"/>
      <c r="E147" s="63"/>
      <c r="F147" s="63"/>
      <c r="G147" s="63"/>
      <c r="H147" s="63"/>
      <c r="I147" s="63"/>
    </row>
    <row r="148" spans="2:9">
      <c r="B148" s="63"/>
      <c r="C148" s="63"/>
      <c r="D148" s="63"/>
      <c r="E148" s="63"/>
      <c r="F148" s="63"/>
      <c r="G148" s="63"/>
      <c r="H148" s="63"/>
      <c r="I148" s="63"/>
    </row>
    <row r="149" spans="2:9">
      <c r="B149" s="63"/>
      <c r="C149" s="63"/>
      <c r="D149" s="63"/>
      <c r="E149" s="63"/>
      <c r="F149" s="63"/>
      <c r="G149" s="63"/>
      <c r="H149" s="63"/>
      <c r="I149" s="63"/>
    </row>
    <row r="150" spans="2:9">
      <c r="B150" s="63"/>
      <c r="C150" s="63"/>
      <c r="D150" s="63"/>
      <c r="E150" s="63"/>
      <c r="F150" s="63"/>
      <c r="G150" s="63"/>
      <c r="H150" s="63"/>
      <c r="I150" s="63"/>
    </row>
    <row r="151" spans="2:9">
      <c r="B151" s="63"/>
      <c r="C151" s="63"/>
      <c r="D151" s="63"/>
      <c r="E151" s="63"/>
      <c r="F151" s="63"/>
      <c r="G151" s="63"/>
      <c r="H151" s="63"/>
      <c r="I151" s="63"/>
    </row>
    <row r="152" spans="2:9">
      <c r="B152" s="63"/>
      <c r="C152" s="63"/>
      <c r="D152" s="63"/>
      <c r="E152" s="63"/>
      <c r="F152" s="63"/>
      <c r="G152" s="63"/>
      <c r="H152" s="63"/>
      <c r="I152" s="63"/>
    </row>
    <row r="153" spans="2:9">
      <c r="B153" s="63"/>
      <c r="C153" s="63"/>
      <c r="D153" s="63"/>
      <c r="E153" s="63"/>
      <c r="F153" s="63"/>
      <c r="G153" s="63"/>
      <c r="H153" s="63"/>
      <c r="I153" s="63"/>
    </row>
    <row r="154" spans="2:9">
      <c r="B154" s="63"/>
      <c r="C154" s="63"/>
      <c r="D154" s="63"/>
      <c r="E154" s="63"/>
      <c r="F154" s="63"/>
      <c r="G154" s="63"/>
      <c r="H154" s="63"/>
      <c r="I154" s="63"/>
    </row>
    <row r="155" spans="2:9">
      <c r="B155" s="63"/>
      <c r="C155" s="63"/>
      <c r="D155" s="63"/>
      <c r="E155" s="63"/>
      <c r="F155" s="63"/>
      <c r="G155" s="63"/>
      <c r="H155" s="63"/>
      <c r="I155" s="63"/>
    </row>
    <row r="156" spans="2:9">
      <c r="B156" s="63"/>
      <c r="C156" s="63"/>
      <c r="D156" s="63"/>
      <c r="E156" s="63"/>
      <c r="F156" s="63"/>
      <c r="G156" s="63"/>
      <c r="H156" s="63"/>
      <c r="I156" s="63"/>
    </row>
    <row r="157" spans="2:9">
      <c r="B157" s="63"/>
      <c r="C157" s="63"/>
      <c r="D157" s="63"/>
      <c r="E157" s="63"/>
      <c r="F157" s="63"/>
      <c r="G157" s="63"/>
      <c r="H157" s="63"/>
      <c r="I157" s="63"/>
    </row>
    <row r="158" spans="2:9">
      <c r="B158" s="63"/>
      <c r="C158" s="63"/>
      <c r="D158" s="63"/>
      <c r="E158" s="63"/>
      <c r="F158" s="63"/>
      <c r="G158" s="63"/>
      <c r="H158" s="63"/>
      <c r="I158" s="63"/>
    </row>
    <row r="159" spans="2:9">
      <c r="B159" s="63"/>
      <c r="C159" s="63"/>
      <c r="D159" s="63"/>
      <c r="E159" s="63"/>
      <c r="F159" s="63"/>
      <c r="G159" s="63"/>
      <c r="H159" s="63"/>
      <c r="I159" s="63"/>
    </row>
    <row r="160" spans="2:9">
      <c r="B160" s="63"/>
      <c r="C160" s="63"/>
      <c r="D160" s="63"/>
      <c r="E160" s="63"/>
      <c r="F160" s="63"/>
      <c r="G160" s="63"/>
      <c r="H160" s="63"/>
      <c r="I160" s="63"/>
    </row>
    <row r="161" spans="2:9">
      <c r="B161" s="63"/>
      <c r="C161" s="63"/>
      <c r="D161" s="63"/>
      <c r="E161" s="63"/>
      <c r="F161" s="63"/>
      <c r="G161" s="63"/>
      <c r="H161" s="63"/>
      <c r="I161" s="63"/>
    </row>
    <row r="162" spans="2:9">
      <c r="B162" s="63"/>
      <c r="C162" s="63"/>
      <c r="D162" s="63"/>
      <c r="E162" s="63"/>
      <c r="F162" s="63"/>
      <c r="G162" s="63"/>
      <c r="H162" s="63"/>
      <c r="I162" s="63"/>
    </row>
    <row r="163" spans="2:9">
      <c r="B163" s="63"/>
      <c r="C163" s="63"/>
      <c r="D163" s="63"/>
      <c r="E163" s="63"/>
      <c r="F163" s="63"/>
      <c r="G163" s="63"/>
      <c r="H163" s="63"/>
      <c r="I163" s="63"/>
    </row>
    <row r="164" spans="2:9">
      <c r="B164" s="63"/>
      <c r="C164" s="63"/>
      <c r="D164" s="63"/>
      <c r="E164" s="63"/>
      <c r="F164" s="63"/>
      <c r="G164" s="63"/>
      <c r="H164" s="63"/>
      <c r="I164" s="63"/>
    </row>
    <row r="165" spans="2:9">
      <c r="B165" s="63"/>
      <c r="C165" s="63"/>
      <c r="D165" s="63"/>
      <c r="E165" s="63"/>
      <c r="F165" s="63"/>
      <c r="G165" s="63"/>
      <c r="H165" s="63"/>
      <c r="I165" s="63"/>
    </row>
    <row r="166" spans="2:9">
      <c r="B166" s="63"/>
      <c r="C166" s="63"/>
      <c r="D166" s="63"/>
      <c r="E166" s="63"/>
      <c r="F166" s="63"/>
      <c r="G166" s="63"/>
      <c r="H166" s="63"/>
      <c r="I166" s="63"/>
    </row>
    <row r="167" spans="2:9">
      <c r="B167" s="63"/>
      <c r="C167" s="63"/>
      <c r="D167" s="63"/>
      <c r="E167" s="63"/>
      <c r="F167" s="63"/>
      <c r="G167" s="63"/>
      <c r="H167" s="63"/>
      <c r="I167" s="63"/>
    </row>
    <row r="168" spans="2:9">
      <c r="B168" s="63"/>
      <c r="C168" s="63"/>
      <c r="D168" s="63"/>
      <c r="E168" s="63"/>
      <c r="F168" s="63"/>
      <c r="G168" s="63"/>
      <c r="H168" s="63"/>
      <c r="I168" s="63"/>
    </row>
    <row r="169" spans="2:9">
      <c r="B169" s="63"/>
      <c r="C169" s="63"/>
      <c r="D169" s="63"/>
      <c r="E169" s="63"/>
      <c r="F169" s="63"/>
      <c r="G169" s="63"/>
      <c r="H169" s="63"/>
      <c r="I169" s="63"/>
    </row>
    <row r="170" spans="2:9">
      <c r="B170" s="63"/>
      <c r="C170" s="63"/>
      <c r="D170" s="63"/>
      <c r="E170" s="63"/>
      <c r="F170" s="63"/>
      <c r="G170" s="63"/>
      <c r="H170" s="63"/>
      <c r="I170" s="63"/>
    </row>
    <row r="171" spans="2:9">
      <c r="B171" s="63"/>
      <c r="C171" s="63"/>
      <c r="D171" s="63"/>
      <c r="E171" s="63"/>
      <c r="F171" s="63"/>
      <c r="G171" s="63"/>
      <c r="H171" s="63"/>
      <c r="I171" s="63"/>
    </row>
    <row r="172" spans="2:9">
      <c r="B172" s="63"/>
      <c r="C172" s="63"/>
      <c r="D172" s="63"/>
      <c r="E172" s="63"/>
      <c r="F172" s="63"/>
      <c r="G172" s="63"/>
      <c r="H172" s="63"/>
      <c r="I172" s="63"/>
    </row>
    <row r="173" spans="2:9">
      <c r="B173" s="63"/>
      <c r="C173" s="63"/>
      <c r="D173" s="63"/>
      <c r="E173" s="63"/>
      <c r="F173" s="63"/>
      <c r="G173" s="63"/>
      <c r="H173" s="63"/>
      <c r="I173" s="63"/>
    </row>
    <row r="174" spans="2:9">
      <c r="B174" s="63"/>
      <c r="C174" s="63"/>
      <c r="D174" s="63"/>
      <c r="E174" s="63"/>
      <c r="F174" s="63"/>
      <c r="G174" s="63"/>
      <c r="H174" s="63"/>
      <c r="I174" s="63"/>
    </row>
    <row r="175" spans="2:9">
      <c r="B175" s="63"/>
      <c r="C175" s="63"/>
      <c r="D175" s="63"/>
      <c r="E175" s="63"/>
      <c r="F175" s="63"/>
      <c r="G175" s="63"/>
      <c r="H175" s="63"/>
      <c r="I175" s="63"/>
    </row>
    <row r="176" spans="2:9">
      <c r="B176" s="63"/>
      <c r="C176" s="63"/>
      <c r="D176" s="63"/>
      <c r="E176" s="63"/>
      <c r="F176" s="63"/>
      <c r="G176" s="63"/>
      <c r="H176" s="63"/>
      <c r="I176" s="63"/>
    </row>
    <row r="177" spans="2:9">
      <c r="B177" s="63"/>
      <c r="C177" s="63"/>
      <c r="D177" s="63"/>
      <c r="E177" s="63"/>
      <c r="F177" s="63"/>
      <c r="G177" s="63"/>
      <c r="H177" s="63"/>
      <c r="I177" s="63"/>
    </row>
    <row r="178" spans="2:9">
      <c r="B178" s="63"/>
      <c r="C178" s="63"/>
      <c r="D178" s="63"/>
      <c r="E178" s="63"/>
      <c r="F178" s="63"/>
      <c r="G178" s="63"/>
      <c r="H178" s="63"/>
      <c r="I178" s="63"/>
    </row>
    <row r="179" spans="2:9">
      <c r="B179" s="63"/>
      <c r="C179" s="63"/>
      <c r="D179" s="63"/>
      <c r="E179" s="63"/>
      <c r="F179" s="63"/>
      <c r="G179" s="63"/>
      <c r="H179" s="63"/>
      <c r="I179" s="63"/>
    </row>
    <row r="180" spans="2:9">
      <c r="B180" s="63"/>
      <c r="C180" s="63"/>
      <c r="D180" s="63"/>
      <c r="E180" s="63"/>
      <c r="F180" s="63"/>
      <c r="G180" s="63"/>
      <c r="H180" s="63"/>
      <c r="I180" s="63"/>
    </row>
    <row r="181" spans="2:9">
      <c r="B181" s="63"/>
      <c r="C181" s="63"/>
      <c r="D181" s="63"/>
      <c r="E181" s="63"/>
      <c r="F181" s="63"/>
      <c r="G181" s="63"/>
      <c r="H181" s="63"/>
      <c r="I181" s="63"/>
    </row>
    <row r="182" spans="2:9">
      <c r="B182" s="63"/>
      <c r="C182" s="63"/>
      <c r="D182" s="63"/>
      <c r="E182" s="63"/>
      <c r="F182" s="63"/>
      <c r="G182" s="63"/>
      <c r="H182" s="63"/>
      <c r="I182" s="63"/>
    </row>
    <row r="183" spans="2:9">
      <c r="B183" s="63"/>
      <c r="C183" s="63"/>
      <c r="D183" s="63"/>
      <c r="E183" s="63"/>
      <c r="F183" s="63"/>
      <c r="G183" s="63"/>
      <c r="H183" s="63"/>
      <c r="I183" s="63"/>
    </row>
    <row r="184" spans="2:9">
      <c r="B184" s="63"/>
      <c r="C184" s="63"/>
      <c r="D184" s="63"/>
      <c r="E184" s="63"/>
      <c r="F184" s="63"/>
      <c r="G184" s="63"/>
      <c r="H184" s="63"/>
      <c r="I184" s="63"/>
    </row>
    <row r="185" spans="2:9">
      <c r="B185" s="63"/>
      <c r="C185" s="63"/>
      <c r="D185" s="63"/>
      <c r="E185" s="63"/>
      <c r="F185" s="63"/>
      <c r="G185" s="63"/>
      <c r="H185" s="63"/>
      <c r="I185" s="63"/>
    </row>
    <row r="186" spans="2:9">
      <c r="B186" s="63"/>
      <c r="C186" s="63"/>
      <c r="D186" s="63"/>
      <c r="E186" s="63"/>
      <c r="F186" s="63"/>
      <c r="G186" s="63"/>
      <c r="H186" s="63"/>
      <c r="I186" s="63"/>
    </row>
    <row r="187" spans="2:9">
      <c r="B187" s="63"/>
      <c r="C187" s="63"/>
      <c r="D187" s="63"/>
      <c r="E187" s="63"/>
      <c r="F187" s="63"/>
      <c r="G187" s="63"/>
      <c r="H187" s="63"/>
      <c r="I187" s="63"/>
    </row>
    <row r="188" spans="2:9">
      <c r="B188" s="63"/>
      <c r="C188" s="63"/>
      <c r="D188" s="63"/>
      <c r="E188" s="63"/>
      <c r="F188" s="63"/>
      <c r="G188" s="63"/>
      <c r="H188" s="63"/>
      <c r="I188" s="63"/>
    </row>
    <row r="189" spans="2:9">
      <c r="B189" s="63"/>
      <c r="C189" s="63"/>
      <c r="D189" s="63"/>
      <c r="E189" s="63"/>
      <c r="F189" s="63"/>
      <c r="G189" s="63"/>
      <c r="H189" s="63"/>
      <c r="I189" s="63"/>
    </row>
    <row r="190" spans="2:9">
      <c r="B190" s="63"/>
      <c r="C190" s="63"/>
      <c r="D190" s="63"/>
      <c r="E190" s="63"/>
      <c r="F190" s="63"/>
      <c r="G190" s="63"/>
      <c r="H190" s="63"/>
      <c r="I190" s="63"/>
    </row>
    <row r="191" spans="2:9">
      <c r="B191" s="63"/>
      <c r="C191" s="63"/>
      <c r="D191" s="63"/>
      <c r="E191" s="63"/>
      <c r="F191" s="63"/>
      <c r="G191" s="63"/>
      <c r="H191" s="63"/>
      <c r="I191" s="63"/>
    </row>
    <row r="192" spans="2:9">
      <c r="B192" s="63"/>
      <c r="C192" s="63"/>
      <c r="D192" s="63"/>
      <c r="E192" s="63"/>
      <c r="F192" s="63"/>
      <c r="G192" s="63"/>
      <c r="H192" s="63"/>
      <c r="I192" s="63"/>
    </row>
    <row r="193" spans="2:9">
      <c r="B193" s="63"/>
      <c r="C193" s="63"/>
      <c r="D193" s="63"/>
      <c r="E193" s="63"/>
      <c r="F193" s="63"/>
      <c r="G193" s="63"/>
      <c r="H193" s="63"/>
      <c r="I193" s="63"/>
    </row>
    <row r="194" spans="2:9">
      <c r="B194" s="63"/>
      <c r="C194" s="63"/>
      <c r="D194" s="63"/>
      <c r="E194" s="63"/>
      <c r="F194" s="63"/>
      <c r="G194" s="63"/>
      <c r="H194" s="63"/>
      <c r="I194" s="63"/>
    </row>
    <row r="195" spans="2:9">
      <c r="B195" s="63"/>
      <c r="C195" s="63"/>
      <c r="D195" s="63"/>
      <c r="E195" s="63"/>
      <c r="F195" s="63"/>
      <c r="G195" s="63"/>
      <c r="H195" s="63"/>
      <c r="I195" s="63"/>
    </row>
    <row r="196" spans="2:9">
      <c r="B196" s="63"/>
      <c r="C196" s="63"/>
      <c r="D196" s="63"/>
      <c r="E196" s="63"/>
      <c r="F196" s="63"/>
      <c r="G196" s="63"/>
      <c r="H196" s="63"/>
      <c r="I196" s="63"/>
    </row>
    <row r="197" spans="2:9">
      <c r="B197" s="63"/>
      <c r="C197" s="63"/>
      <c r="D197" s="63"/>
      <c r="E197" s="63"/>
      <c r="F197" s="63"/>
      <c r="G197" s="63"/>
      <c r="H197" s="63"/>
      <c r="I197" s="63"/>
    </row>
    <row r="198" spans="2:9">
      <c r="B198" s="63"/>
      <c r="C198" s="63"/>
      <c r="D198" s="63"/>
      <c r="E198" s="63"/>
      <c r="F198" s="63"/>
      <c r="G198" s="63"/>
      <c r="H198" s="63"/>
      <c r="I198" s="63"/>
    </row>
    <row r="199" spans="2:9">
      <c r="B199" s="63"/>
      <c r="C199" s="63"/>
      <c r="D199" s="63"/>
      <c r="E199" s="63"/>
      <c r="F199" s="63"/>
      <c r="G199" s="63"/>
      <c r="H199" s="63"/>
      <c r="I199" s="63"/>
    </row>
    <row r="200" spans="2:9">
      <c r="B200" s="63"/>
      <c r="C200" s="63"/>
      <c r="D200" s="63"/>
      <c r="E200" s="63"/>
      <c r="F200" s="63"/>
      <c r="G200" s="63"/>
      <c r="H200" s="63"/>
      <c r="I200" s="63"/>
    </row>
    <row r="201" spans="2:9">
      <c r="B201" s="63"/>
      <c r="C201" s="63"/>
      <c r="D201" s="63"/>
      <c r="E201" s="63"/>
      <c r="F201" s="63"/>
      <c r="G201" s="63"/>
      <c r="H201" s="63"/>
      <c r="I201" s="63"/>
    </row>
    <row r="202" spans="2:9">
      <c r="B202" s="63"/>
      <c r="C202" s="63"/>
      <c r="D202" s="63"/>
      <c r="E202" s="63"/>
      <c r="F202" s="63"/>
      <c r="G202" s="63"/>
      <c r="H202" s="63"/>
      <c r="I202" s="63"/>
    </row>
    <row r="203" spans="2:9">
      <c r="B203" s="63"/>
      <c r="C203" s="63"/>
      <c r="D203" s="63"/>
      <c r="E203" s="63"/>
      <c r="F203" s="63"/>
      <c r="G203" s="63"/>
      <c r="H203" s="63"/>
      <c r="I203" s="63"/>
    </row>
    <row r="204" spans="2:9">
      <c r="B204" s="63"/>
      <c r="C204" s="63"/>
      <c r="D204" s="63"/>
      <c r="E204" s="63"/>
      <c r="F204" s="63"/>
      <c r="G204" s="63"/>
      <c r="H204" s="63"/>
      <c r="I204" s="63"/>
    </row>
    <row r="205" spans="2:9">
      <c r="B205" s="63"/>
      <c r="C205" s="63"/>
      <c r="D205" s="63"/>
      <c r="E205" s="63"/>
      <c r="F205" s="63"/>
      <c r="G205" s="63"/>
      <c r="H205" s="63"/>
      <c r="I205" s="63"/>
    </row>
    <row r="206" spans="2:9">
      <c r="B206" s="63"/>
      <c r="C206" s="63"/>
      <c r="D206" s="63"/>
      <c r="E206" s="63"/>
      <c r="F206" s="63"/>
      <c r="G206" s="63"/>
      <c r="H206" s="63"/>
      <c r="I206" s="63"/>
    </row>
    <row r="207" spans="2:9">
      <c r="B207" s="63"/>
      <c r="C207" s="63"/>
      <c r="D207" s="63"/>
      <c r="E207" s="63"/>
      <c r="F207" s="63"/>
      <c r="G207" s="63"/>
      <c r="H207" s="63"/>
      <c r="I207" s="63"/>
    </row>
    <row r="208" spans="2:9">
      <c r="B208" s="63"/>
      <c r="C208" s="63"/>
      <c r="D208" s="63"/>
      <c r="E208" s="63"/>
      <c r="F208" s="63"/>
      <c r="G208" s="63"/>
      <c r="H208" s="63"/>
      <c r="I208" s="63"/>
    </row>
    <row r="209" spans="2:9">
      <c r="B209" s="63"/>
      <c r="C209" s="63"/>
      <c r="D209" s="63"/>
      <c r="E209" s="63"/>
      <c r="F209" s="63"/>
      <c r="G209" s="63"/>
      <c r="H209" s="63"/>
      <c r="I209" s="63"/>
    </row>
    <row r="210" spans="2:9">
      <c r="B210" s="63"/>
      <c r="C210" s="63"/>
      <c r="D210" s="63"/>
      <c r="E210" s="63"/>
      <c r="F210" s="63"/>
      <c r="G210" s="63"/>
      <c r="H210" s="63"/>
      <c r="I210" s="63"/>
    </row>
    <row r="211" spans="2:9">
      <c r="B211" s="63"/>
      <c r="C211" s="63"/>
      <c r="D211" s="63"/>
      <c r="E211" s="63"/>
      <c r="F211" s="63"/>
      <c r="G211" s="63"/>
      <c r="H211" s="63"/>
      <c r="I211" s="63"/>
    </row>
    <row r="212" spans="2:9">
      <c r="B212" s="63"/>
      <c r="C212" s="63"/>
      <c r="D212" s="63"/>
      <c r="E212" s="63"/>
      <c r="F212" s="63"/>
      <c r="G212" s="63"/>
      <c r="H212" s="63"/>
      <c r="I212" s="63"/>
    </row>
    <row r="213" spans="2:9">
      <c r="B213" s="63"/>
      <c r="C213" s="63"/>
      <c r="D213" s="63"/>
      <c r="E213" s="63"/>
      <c r="F213" s="63"/>
      <c r="G213" s="63"/>
      <c r="H213" s="63"/>
      <c r="I213" s="63"/>
    </row>
    <row r="214" spans="2:9">
      <c r="B214" s="63"/>
      <c r="C214" s="63"/>
      <c r="D214" s="63"/>
      <c r="E214" s="63"/>
      <c r="F214" s="63"/>
      <c r="G214" s="63"/>
      <c r="H214" s="63"/>
      <c r="I214" s="63"/>
    </row>
    <row r="215" spans="2:9">
      <c r="B215" s="63"/>
      <c r="C215" s="63"/>
      <c r="D215" s="63"/>
      <c r="E215" s="63"/>
      <c r="F215" s="63"/>
      <c r="G215" s="63"/>
      <c r="H215" s="63"/>
      <c r="I215" s="63"/>
    </row>
    <row r="216" spans="2:9">
      <c r="B216" s="63"/>
      <c r="C216" s="63"/>
      <c r="D216" s="63"/>
      <c r="E216" s="63"/>
      <c r="F216" s="63"/>
      <c r="G216" s="63"/>
      <c r="H216" s="63"/>
      <c r="I216" s="63"/>
    </row>
    <row r="217" spans="2:9">
      <c r="B217" s="63"/>
      <c r="C217" s="63"/>
      <c r="D217" s="63"/>
      <c r="E217" s="63"/>
      <c r="F217" s="63"/>
      <c r="G217" s="63"/>
      <c r="H217" s="63"/>
      <c r="I217" s="63"/>
    </row>
    <row r="218" spans="2:9">
      <c r="B218" s="63"/>
      <c r="C218" s="63"/>
      <c r="D218" s="63"/>
      <c r="E218" s="63"/>
      <c r="F218" s="63"/>
      <c r="G218" s="63"/>
      <c r="H218" s="63"/>
      <c r="I218" s="63"/>
    </row>
    <row r="219" spans="2:9">
      <c r="B219" s="63"/>
      <c r="C219" s="63"/>
      <c r="D219" s="63"/>
      <c r="E219" s="63"/>
      <c r="F219" s="63"/>
      <c r="G219" s="63"/>
      <c r="H219" s="63"/>
      <c r="I219" s="63"/>
    </row>
    <row r="220" spans="2:9">
      <c r="B220" s="63"/>
      <c r="C220" s="63"/>
      <c r="D220" s="63"/>
      <c r="E220" s="63"/>
      <c r="F220" s="63"/>
      <c r="G220" s="63"/>
      <c r="H220" s="63"/>
      <c r="I220" s="63"/>
    </row>
    <row r="221" spans="2:9">
      <c r="B221" s="63"/>
      <c r="C221" s="63"/>
      <c r="D221" s="63"/>
      <c r="E221" s="63"/>
      <c r="F221" s="63"/>
      <c r="G221" s="63"/>
      <c r="H221" s="63"/>
      <c r="I221" s="63"/>
    </row>
    <row r="222" spans="2:9">
      <c r="B222" s="63"/>
      <c r="C222" s="63"/>
      <c r="D222" s="63"/>
      <c r="E222" s="63"/>
      <c r="F222" s="63"/>
      <c r="G222" s="63"/>
      <c r="H222" s="63"/>
      <c r="I222" s="63"/>
    </row>
    <row r="223" spans="2:9">
      <c r="B223" s="63"/>
      <c r="C223" s="63"/>
      <c r="D223" s="63"/>
      <c r="E223" s="63"/>
      <c r="F223" s="63"/>
      <c r="G223" s="63"/>
      <c r="H223" s="63"/>
      <c r="I223" s="63"/>
    </row>
    <row r="224" spans="2:9">
      <c r="B224" s="63"/>
      <c r="C224" s="63"/>
      <c r="D224" s="63"/>
      <c r="E224" s="63"/>
      <c r="F224" s="63"/>
      <c r="G224" s="63"/>
      <c r="H224" s="63"/>
      <c r="I224" s="63"/>
    </row>
    <row r="225" spans="2:9">
      <c r="B225" s="63"/>
      <c r="C225" s="63"/>
      <c r="D225" s="63"/>
      <c r="E225" s="63"/>
      <c r="F225" s="63"/>
      <c r="G225" s="63"/>
      <c r="H225" s="63"/>
      <c r="I225" s="63"/>
    </row>
    <row r="226" spans="2:9">
      <c r="B226" s="63"/>
      <c r="C226" s="63"/>
      <c r="D226" s="63"/>
      <c r="E226" s="63"/>
      <c r="F226" s="63"/>
      <c r="G226" s="63"/>
      <c r="H226" s="63"/>
      <c r="I226" s="63"/>
    </row>
    <row r="227" spans="2:9">
      <c r="B227" s="63"/>
      <c r="C227" s="63"/>
      <c r="D227" s="63"/>
      <c r="E227" s="63"/>
      <c r="F227" s="63"/>
      <c r="G227" s="63"/>
      <c r="H227" s="63"/>
      <c r="I227" s="63"/>
    </row>
    <row r="228" spans="2:9">
      <c r="B228" s="63"/>
      <c r="C228" s="63"/>
      <c r="D228" s="63"/>
      <c r="E228" s="63"/>
      <c r="F228" s="63"/>
      <c r="G228" s="63"/>
      <c r="H228" s="63"/>
      <c r="I228" s="63"/>
    </row>
    <row r="229" spans="2:9">
      <c r="B229" s="63"/>
      <c r="C229" s="63"/>
      <c r="D229" s="63"/>
      <c r="E229" s="63"/>
      <c r="F229" s="63"/>
      <c r="G229" s="63"/>
      <c r="H229" s="63"/>
      <c r="I229" s="63"/>
    </row>
    <row r="230" spans="2:9">
      <c r="B230" s="63"/>
      <c r="C230" s="63"/>
      <c r="D230" s="63"/>
      <c r="E230" s="63"/>
      <c r="F230" s="63"/>
      <c r="G230" s="63"/>
      <c r="H230" s="63"/>
      <c r="I230" s="63"/>
    </row>
    <row r="231" spans="2:9">
      <c r="B231" s="63"/>
      <c r="C231" s="63"/>
      <c r="D231" s="63"/>
      <c r="E231" s="63"/>
      <c r="F231" s="63"/>
      <c r="G231" s="63"/>
      <c r="H231" s="63"/>
      <c r="I231" s="63"/>
    </row>
    <row r="232" spans="2:9">
      <c r="B232" s="63"/>
      <c r="C232" s="63"/>
      <c r="D232" s="63"/>
      <c r="E232" s="63"/>
      <c r="F232" s="63"/>
      <c r="G232" s="63"/>
      <c r="H232" s="63"/>
      <c r="I232" s="63"/>
    </row>
    <row r="233" spans="2:9">
      <c r="B233" s="63"/>
      <c r="C233" s="63"/>
      <c r="D233" s="63"/>
      <c r="E233" s="63"/>
      <c r="F233" s="63"/>
      <c r="G233" s="63"/>
      <c r="H233" s="63"/>
      <c r="I233" s="63"/>
    </row>
    <row r="234" spans="2:9">
      <c r="B234" s="63"/>
      <c r="C234" s="63"/>
      <c r="D234" s="63"/>
      <c r="E234" s="63"/>
      <c r="F234" s="63"/>
      <c r="G234" s="63"/>
      <c r="H234" s="63"/>
      <c r="I234" s="63"/>
    </row>
    <row r="235" spans="2:9">
      <c r="B235" s="63"/>
      <c r="C235" s="63"/>
      <c r="D235" s="63"/>
      <c r="E235" s="63"/>
      <c r="F235" s="63"/>
      <c r="G235" s="63"/>
      <c r="H235" s="63"/>
      <c r="I235" s="63"/>
    </row>
    <row r="236" spans="2:9">
      <c r="B236" s="63"/>
      <c r="C236" s="63"/>
      <c r="D236" s="63"/>
      <c r="E236" s="63"/>
      <c r="F236" s="63"/>
      <c r="G236" s="63"/>
      <c r="H236" s="63"/>
      <c r="I236" s="63"/>
    </row>
    <row r="237" spans="2:9">
      <c r="B237" s="63"/>
      <c r="C237" s="63"/>
      <c r="D237" s="63"/>
      <c r="E237" s="63"/>
      <c r="F237" s="63"/>
      <c r="G237" s="63"/>
      <c r="H237" s="63"/>
      <c r="I237" s="63"/>
    </row>
    <row r="238" spans="2:9">
      <c r="B238" s="63"/>
      <c r="C238" s="63"/>
      <c r="D238" s="63"/>
      <c r="E238" s="63"/>
      <c r="F238" s="63"/>
      <c r="G238" s="63"/>
      <c r="H238" s="63"/>
      <c r="I238" s="63"/>
    </row>
    <row r="239" spans="2:9">
      <c r="B239" s="63"/>
      <c r="C239" s="63"/>
      <c r="D239" s="63"/>
      <c r="E239" s="63"/>
      <c r="F239" s="63"/>
      <c r="G239" s="63"/>
      <c r="H239" s="63"/>
      <c r="I239" s="63"/>
    </row>
    <row r="240" spans="2:9">
      <c r="B240" s="63"/>
      <c r="C240" s="63"/>
      <c r="D240" s="63"/>
      <c r="E240" s="63"/>
      <c r="F240" s="63"/>
      <c r="G240" s="63"/>
      <c r="H240" s="63"/>
      <c r="I240" s="63"/>
    </row>
    <row r="241" spans="2:9">
      <c r="B241" s="63"/>
      <c r="C241" s="63"/>
      <c r="D241" s="63"/>
      <c r="E241" s="63"/>
      <c r="F241" s="63"/>
      <c r="G241" s="63"/>
      <c r="H241" s="63"/>
      <c r="I241" s="63"/>
    </row>
    <row r="242" spans="2:9">
      <c r="B242" s="63"/>
      <c r="C242" s="63"/>
      <c r="D242" s="63"/>
      <c r="E242" s="63"/>
      <c r="F242" s="63"/>
      <c r="G242" s="63"/>
      <c r="H242" s="63"/>
      <c r="I242" s="63"/>
    </row>
    <row r="243" spans="2:9">
      <c r="B243" s="63"/>
      <c r="C243" s="63"/>
      <c r="D243" s="63"/>
      <c r="E243" s="63"/>
      <c r="F243" s="63"/>
      <c r="G243" s="63"/>
      <c r="H243" s="63"/>
      <c r="I243" s="63"/>
    </row>
    <row r="244" spans="2:9">
      <c r="B244" s="63"/>
      <c r="C244" s="63"/>
      <c r="D244" s="63"/>
      <c r="E244" s="63"/>
      <c r="F244" s="63"/>
      <c r="G244" s="63"/>
      <c r="H244" s="63"/>
      <c r="I244" s="63"/>
    </row>
    <row r="245" spans="2:9">
      <c r="B245" s="63"/>
      <c r="C245" s="63"/>
      <c r="D245" s="63"/>
      <c r="E245" s="63"/>
      <c r="F245" s="63"/>
      <c r="G245" s="63"/>
      <c r="H245" s="63"/>
      <c r="I245" s="63"/>
    </row>
    <row r="246" spans="2:9">
      <c r="B246" s="63"/>
      <c r="C246" s="63"/>
      <c r="D246" s="63"/>
      <c r="E246" s="63"/>
      <c r="F246" s="63"/>
      <c r="G246" s="63"/>
      <c r="H246" s="63"/>
      <c r="I246" s="63"/>
    </row>
    <row r="247" spans="2:9">
      <c r="B247" s="63"/>
      <c r="C247" s="63"/>
      <c r="D247" s="63"/>
      <c r="E247" s="63"/>
      <c r="F247" s="63"/>
      <c r="G247" s="63"/>
      <c r="H247" s="63"/>
      <c r="I247" s="63"/>
    </row>
  </sheetData>
  <mergeCells count="10">
    <mergeCell ref="B1:C1"/>
    <mergeCell ref="A1:A2"/>
    <mergeCell ref="H1:I1"/>
    <mergeCell ref="D1:E1"/>
    <mergeCell ref="F1:G1"/>
    <mergeCell ref="S1:T1"/>
    <mergeCell ref="S8:T8"/>
    <mergeCell ref="P6:Q6"/>
    <mergeCell ref="P1:Q1"/>
    <mergeCell ref="V1:W1"/>
  </mergeCells>
  <dataValidations count="19">
    <dataValidation type="whole" operator="greaterThan" showInputMessage="1" showErrorMessage="1" errorTitle="Wrong entry!" error="Entry is required. It has to be a nonnegative integer not smaller than 1." sqref="T10" xr:uid="{00000000-0002-0000-0200-000000000000}">
      <formula1>1</formula1>
    </dataValidation>
    <dataValidation type="decimal" operator="lessThan" showInputMessage="1" showErrorMessage="1" errorTitle="Wrong entry!" error="Entry is required. It has to be a negative number." sqref="Q9" xr:uid="{00000000-0002-0000-0200-000001000000}">
      <formula1>0</formula1>
    </dataValidation>
    <dataValidation type="decimal" operator="greaterThan" showInputMessage="1" showErrorMessage="1" errorTitle="Wrong entry!" error="Entry is required. It has to be a nonnegative number." sqref="T9 T2:T3 T5 Z2:AA4 Q2" xr:uid="{00000000-0002-0000-0200-000002000000}">
      <formula1>0</formula1>
    </dataValidation>
    <dataValidation type="decimal" showInputMessage="1" showErrorMessage="1" errorTitle="Wrong entry!" error="Entry is required. It has to be a nonnegative number below the max. feedrate." sqref="W7" xr:uid="{00000000-0002-0000-0200-000003000000}">
      <formula1>0</formula1>
      <formula2>Z2</formula2>
    </dataValidation>
    <dataValidation type="decimal" showInputMessage="1" showErrorMessage="1" errorTitle="Wrong entry!" error="Entry is required. It has to be a nonnegative number below the max. feedrate." sqref="W8" xr:uid="{00000000-0002-0000-0200-000004000000}">
      <formula1>0</formula1>
      <formula2>Z2</formula2>
    </dataValidation>
    <dataValidation type="decimal" showInputMessage="1" showErrorMessage="1" errorTitle="Wrong entry!" error="Entry is required. It has to be a nonnegative number below the max. feedrate." sqref="W5:W6" xr:uid="{00000000-0002-0000-0200-000005000000}">
      <formula1>0</formula1>
      <formula2>Z2</formula2>
    </dataValidation>
    <dataValidation type="decimal" showInputMessage="1" showErrorMessage="1" errorTitle="Wrong entry!" error="Entry is required. It has to be a nonnegative number below the max. feedrate." sqref="W2:W3" xr:uid="{00000000-0002-0000-0200-000006000000}">
      <formula1>0</formula1>
      <formula2>Z3</formula2>
    </dataValidation>
    <dataValidation type="decimal" showInputMessage="1" showErrorMessage="1" errorTitle="Wrong entry!" error="Entry is required. It has to be a nonnegative number below the normal velocity in z-direction." sqref="W4" xr:uid="{00000000-0002-0000-0200-000007000000}">
      <formula1>0</formula1>
      <formula2>W3</formula2>
    </dataValidation>
    <dataValidation type="decimal" operator="greaterThan" showInputMessage="1" showErrorMessage="1" errorTitle="Wrong entry!" error="Entry is required.  It has to be a nonnegative number. " sqref="Q4" xr:uid="{00000000-0002-0000-0200-000008000000}">
      <formula1>0</formula1>
    </dataValidation>
    <dataValidation type="decimal" showInputMessage="1" showErrorMessage="1" errorTitle="Wrong entry!" error="Entry is required. It has to be a number between 3 and the movement height above all items." sqref="N6" xr:uid="{00000000-0002-0000-0200-000009000000}">
      <formula1>0</formula1>
      <formula2>4</formula2>
    </dataValidation>
    <dataValidation type="decimal" operator="greaterThan" allowBlank="1" showInputMessage="1" showErrorMessage="1" errorTitle="Wrong entry!" error="Entry is required. It has to be a nonnegative number." sqref="T4" xr:uid="{00000000-0002-0000-0200-00000A000000}">
      <formula1>0</formula1>
    </dataValidation>
    <dataValidation type="decimal" allowBlank="1" showInputMessage="1" showErrorMessage="1" errorTitle="Wrong entry!" error="Entry has to be a number between 0 and 10." sqref="H1:I2 H4:I1048576" xr:uid="{00000000-0002-0000-0200-00000B000000}">
      <formula1>0</formula1>
      <formula2>10</formula2>
    </dataValidation>
    <dataValidation type="decimal" allowBlank="1" showInputMessage="1" showErrorMessage="1" errorTitle="Wrong entry!" error="Entry has to be a number between 0 and 330." sqref="B1:G1048576" xr:uid="{00000000-0002-0000-0200-00000C000000}">
      <formula1>0</formula1>
      <formula2>330</formula2>
    </dataValidation>
    <dataValidation type="decimal" showInputMessage="1" showErrorMessage="1" errorTitle="Wrong entry!" error="Entry is required. It has to be a number between 0 and 10." sqref="N2:N5" xr:uid="{00000000-0002-0000-0200-00000D000000}">
      <formula1>0</formula1>
      <formula2>10</formula2>
    </dataValidation>
    <dataValidation type="decimal" showInputMessage="1" showErrorMessage="1" errorTitle="Wrong entry!" error="Entry is required. It has to be a number between 0 and 330." sqref="L2:L5" xr:uid="{00000000-0002-0000-0200-00000E000000}">
      <formula1>0</formula1>
      <formula2>330</formula2>
    </dataValidation>
    <dataValidation type="decimal" allowBlank="1" showInputMessage="1" showErrorMessage="1" errorTitle="Wrong entry!" error="Entry is required. It hast to be a number between 0 and 330." sqref="M2:M5" xr:uid="{00000000-0002-0000-0200-00000F000000}">
      <formula1>0</formula1>
      <formula2>330</formula2>
    </dataValidation>
    <dataValidation type="decimal" showInputMessage="1" showErrorMessage="1" errorTitle="Wrong entry!" error="Entry is required. It has to be a nonnegative number below 80." sqref="Q3" xr:uid="{00000000-0002-0000-0200-000010000000}">
      <formula1>0</formula1>
      <formula2>80</formula2>
    </dataValidation>
    <dataValidation type="decimal" showInputMessage="1" showErrorMessage="1" errorTitle="Wrong entry!" error="Entry has to be a nonnegative number." sqref="Q7" xr:uid="{00000000-0002-0000-0200-000011000000}">
      <formula1>0</formula1>
      <formula2>Q8</formula2>
    </dataValidation>
    <dataValidation type="decimal" operator="greaterThan" showInputMessage="1" showErrorMessage="1" errorTitle="Wrong entry!" error="Entry has to be a nonnegative number." sqref="Q8" xr:uid="{00000000-0002-0000-0200-000012000000}">
      <formula1>0</formula1>
    </dataValidation>
  </dataValidations>
  <pageMargins left="0.7" right="0.7" top="0.78740157499999996" bottom="0.78740157499999996" header="0.3" footer="0.3"/>
  <pageSetup paperSize="9" scale="12" orientation="landscape" horizontalDpi="360" verticalDpi="360" r:id="rId1"/>
  <extLst>
    <ext xmlns:x14="http://schemas.microsoft.com/office/spreadsheetml/2009/9/main" uri="{CCE6A557-97BC-4b89-ADB6-D9C93CAAB3DF}">
      <x14:dataValidations xmlns:xm="http://schemas.microsoft.com/office/excel/2006/main" count="2">
        <x14:dataValidation type="decimal" showInputMessage="1" showErrorMessage="1" errorTitle="Wrong entry!" error="Entry is required. It has to be a nonnegative number." xr:uid="{00000000-0002-0000-0200-000013000000}">
          <x14:formula1>
            <xm:f>0</xm:f>
          </x14:formula1>
          <x14:formula2>
            <xm:f>calc1!#REF!</xm:f>
          </x14:formula2>
          <xm:sqref>T7</xm:sqref>
        </x14:dataValidation>
        <x14:dataValidation type="decimal" showInputMessage="1" showErrorMessage="1" errorTitle="Wrong entry!" error="Entry is required. It has to be a nonnegative number." xr:uid="{00000000-0002-0000-0200-000014000000}">
          <x14:formula1>
            <xm:f>0</xm:f>
          </x14:formula1>
          <x14:formula2>
            <xm:f>calc1!C6</xm:f>
          </x14:formula2>
          <xm:sqref>T6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2">
    <pageSetUpPr fitToPage="1"/>
  </sheetPr>
  <dimension ref="A1:W18"/>
  <sheetViews>
    <sheetView showGridLines="0" zoomScale="70" zoomScaleNormal="70" workbookViewId="0">
      <selection activeCell="AA6" sqref="AA6"/>
    </sheetView>
  </sheetViews>
  <sheetFormatPr baseColWidth="10" defaultColWidth="10.7109375" defaultRowHeight="15"/>
  <cols>
    <col min="1" max="1" width="27.28515625" style="3" bestFit="1" customWidth="1"/>
    <col min="2" max="2" width="7.7109375" style="3" customWidth="1"/>
    <col min="3" max="3" width="2.7109375" style="3" customWidth="1"/>
    <col min="4" max="4" width="15.42578125" style="3" customWidth="1"/>
    <col min="5" max="5" width="9.28515625" style="3" customWidth="1"/>
    <col min="6" max="6" width="2.7109375" style="3" customWidth="1"/>
    <col min="7" max="7" width="18.42578125" style="3" customWidth="1"/>
    <col min="8" max="8" width="8.7109375" style="3" customWidth="1"/>
    <col min="9" max="9" width="2.7109375" style="3" customWidth="1"/>
    <col min="10" max="10" width="15.42578125" style="3" customWidth="1"/>
    <col min="11" max="11" width="9.42578125" style="3" customWidth="1"/>
    <col min="12" max="12" width="2.7109375" style="3" customWidth="1"/>
    <col min="13" max="13" width="14.7109375" style="3" bestFit="1" customWidth="1"/>
    <col min="14" max="15" width="11.7109375" style="3" customWidth="1"/>
    <col min="16" max="16" width="6.5703125" style="3" customWidth="1"/>
    <col min="17" max="17" width="8" style="3" bestFit="1" customWidth="1"/>
    <col min="18" max="19" width="6.5703125" style="3" customWidth="1"/>
    <col min="20" max="20" width="9.28515625" style="3" customWidth="1"/>
    <col min="21" max="21" width="9.7109375" style="3" bestFit="1" customWidth="1"/>
    <col min="22" max="22" width="2.7109375" style="3" customWidth="1"/>
    <col min="23" max="23" width="15.7109375" style="3" customWidth="1"/>
  </cols>
  <sheetData>
    <row r="1" spans="1:23" ht="30">
      <c r="A1" s="26" t="s">
        <v>9</v>
      </c>
      <c r="B1" s="27"/>
      <c r="C1" s="4"/>
      <c r="D1" s="7" t="s">
        <v>1</v>
      </c>
      <c r="E1" s="6"/>
      <c r="F1" s="5"/>
      <c r="G1" s="29" t="s">
        <v>0</v>
      </c>
      <c r="H1" s="28"/>
      <c r="I1" s="5"/>
      <c r="J1" s="15" t="s">
        <v>29</v>
      </c>
      <c r="L1" s="5"/>
      <c r="M1" s="116"/>
      <c r="N1" s="114" t="s">
        <v>81</v>
      </c>
      <c r="O1" s="115"/>
      <c r="P1" s="114" t="s">
        <v>88</v>
      </c>
      <c r="Q1" s="115"/>
      <c r="R1" s="114" t="s">
        <v>87</v>
      </c>
      <c r="S1" s="115"/>
      <c r="T1" s="114" t="s">
        <v>82</v>
      </c>
      <c r="U1" s="115"/>
      <c r="V1" s="5"/>
      <c r="W1" s="47" t="s">
        <v>234</v>
      </c>
    </row>
    <row r="2" spans="1:23" ht="73.5" customHeight="1">
      <c r="A2" s="27" t="s">
        <v>23</v>
      </c>
      <c r="B2" s="30">
        <f>(initialize!Q7-initialize!Q8)/initialize!Q9</f>
        <v>3.8306451612903224E-3</v>
      </c>
      <c r="C2" s="4"/>
      <c r="D2" s="18" t="s">
        <v>52</v>
      </c>
      <c r="E2" s="18">
        <f>42.687-initialize!Q2</f>
        <v>2.6869999999999976</v>
      </c>
      <c r="F2" s="5"/>
      <c r="G2" s="30" t="s">
        <v>18</v>
      </c>
      <c r="H2" s="30">
        <f>calc1!N3*calc1!O3</f>
        <v>28</v>
      </c>
      <c r="I2" s="5"/>
      <c r="J2" s="16" t="s">
        <v>43</v>
      </c>
      <c r="L2" s="5"/>
      <c r="M2" s="117"/>
      <c r="N2" s="27" t="s">
        <v>85</v>
      </c>
      <c r="O2" s="27" t="s">
        <v>86</v>
      </c>
      <c r="P2" s="30" t="s">
        <v>10</v>
      </c>
      <c r="Q2" s="30" t="s">
        <v>11</v>
      </c>
      <c r="R2" s="30" t="s">
        <v>10</v>
      </c>
      <c r="S2" s="30" t="s">
        <v>11</v>
      </c>
      <c r="T2" s="27" t="s">
        <v>83</v>
      </c>
      <c r="U2" s="27" t="s">
        <v>84</v>
      </c>
      <c r="V2" s="5"/>
      <c r="W2" s="18" t="b">
        <f>TRUE</f>
        <v>1</v>
      </c>
    </row>
    <row r="3" spans="1:23" ht="73.5" customHeight="1">
      <c r="A3" s="27" t="s">
        <v>185</v>
      </c>
      <c r="B3" s="31">
        <f>-modify!H3*B4-initialize!T4-initialize!T2</f>
        <v>-10.782999999999999</v>
      </c>
      <c r="C3" s="4"/>
      <c r="D3" s="6" t="s">
        <v>16</v>
      </c>
      <c r="E3" s="6">
        <f>ROUNDUP(($H$3                     +N("number of collected samples"))
                          /modify!$E$2,0)   +N("number of TLC plates")</f>
        <v>10</v>
      </c>
      <c r="F3" s="5"/>
      <c r="G3" s="27" t="s">
        <v>31</v>
      </c>
      <c r="H3" s="27">
        <f>ROUNDUP(H2/modify!$B$6,0)</f>
        <v>28</v>
      </c>
      <c r="I3" s="5"/>
      <c r="J3" s="16" t="s">
        <v>44</v>
      </c>
      <c r="L3" s="5"/>
      <c r="M3" s="26" t="s">
        <v>90</v>
      </c>
      <c r="N3" s="28">
        <v>7</v>
      </c>
      <c r="O3" s="28">
        <v>4</v>
      </c>
      <c r="P3" s="31">
        <v>0</v>
      </c>
      <c r="Q3" s="31">
        <v>295</v>
      </c>
      <c r="R3" s="31">
        <v>121.5</v>
      </c>
      <c r="S3" s="31">
        <v>102</v>
      </c>
      <c r="T3" s="28">
        <v>0.05</v>
      </c>
      <c r="U3" s="28">
        <v>3.5</v>
      </c>
      <c r="V3" s="5"/>
      <c r="W3" s="18" t="b">
        <f>FALSE</f>
        <v>0</v>
      </c>
    </row>
    <row r="4" spans="1:23" ht="73.5" customHeight="1">
      <c r="A4" s="30" t="s">
        <v>186</v>
      </c>
      <c r="B4" s="30">
        <f>ROUND(modify!$H$2/$B$2/modify!$H$3/1000,4)</f>
        <v>7.8299999999999995E-2</v>
      </c>
      <c r="C4" s="4"/>
      <c r="D4" s="6" t="str">
        <f>IF(E4="","","number of spots on the second TLC plate")</f>
        <v>number of spots on the second TLC plate</v>
      </c>
      <c r="E4" s="6">
        <f>IF(modify!$E$2&gt;1,
       ROUNDUP(($H$3-$E$3)
                                /(modify!E2-1),0),"")</f>
        <v>9</v>
      </c>
      <c r="F4" s="5"/>
      <c r="G4" s="27" t="s">
        <v>47</v>
      </c>
      <c r="H4" s="72">
        <f>(calc1!S3-calc1!Q3)/(calc1!N3-1)</f>
        <v>-32.166666666666664</v>
      </c>
      <c r="I4" s="5"/>
      <c r="J4" s="17" t="s">
        <v>45</v>
      </c>
      <c r="L4" s="5"/>
      <c r="V4" s="5"/>
    </row>
    <row r="5" spans="1:23" ht="73.5" customHeight="1">
      <c r="A5" s="27" t="s">
        <v>188</v>
      </c>
      <c r="B5" s="31">
        <f>initialize!T6*B3</f>
        <v>-16.174499999999998</v>
      </c>
      <c r="C5" s="4"/>
      <c r="D5" s="6" t="str">
        <f>IF(E5="","","number of spots on the third TLC plate")</f>
        <v>number of spots on the third TLC plate</v>
      </c>
      <c r="E5" s="6">
        <f>IF(modify!$E$2&gt;2,
    ROUNDUP(($H$3-$E$3-$E$4)
                            /(modify!$E$2-2),0),"")</f>
        <v>9</v>
      </c>
      <c r="F5" s="5"/>
      <c r="G5" s="27" t="s">
        <v>48</v>
      </c>
      <c r="H5" s="27">
        <f>(calc1!R3-calc1!P3)/(calc1!O3-1)</f>
        <v>40.5</v>
      </c>
      <c r="I5" s="5"/>
      <c r="J5" s="14" t="s">
        <v>46</v>
      </c>
      <c r="L5" s="5"/>
      <c r="M5" s="29"/>
      <c r="N5" s="31" t="s">
        <v>10</v>
      </c>
      <c r="O5" s="31" t="s">
        <v>11</v>
      </c>
      <c r="P5" s="28" t="s">
        <v>12</v>
      </c>
      <c r="V5" s="5"/>
    </row>
    <row r="6" spans="1:23" ht="60">
      <c r="A6" s="27" t="s">
        <v>187</v>
      </c>
      <c r="B6" s="28">
        <f>ROUND(initialize!Q9/calc1!B3,2)</f>
        <v>23</v>
      </c>
      <c r="C6" s="4"/>
      <c r="D6" s="5"/>
      <c r="E6" s="5"/>
      <c r="F6" s="5"/>
      <c r="G6" s="5"/>
      <c r="H6" s="5"/>
      <c r="I6" s="5"/>
      <c r="J6" s="5"/>
      <c r="L6" s="5"/>
      <c r="M6" s="45" t="s">
        <v>173</v>
      </c>
      <c r="N6" s="58">
        <f>initialize!L4+125.2</f>
        <v>301</v>
      </c>
      <c r="O6" s="58">
        <f>initialize!M4+78</f>
        <v>137</v>
      </c>
      <c r="P6" s="30">
        <f>initialize!N4-0.55</f>
        <v>0.35</v>
      </c>
      <c r="V6" s="5"/>
    </row>
    <row r="7" spans="1:23" ht="30">
      <c r="A7" s="27" t="s">
        <v>222</v>
      </c>
      <c r="B7" s="28">
        <f>(1000*(initialize!Q8-initialize!Q7)/initialize!T6)/calc1!H3-(initialize!T2+initialize!T4)</f>
        <v>12.61904761904762</v>
      </c>
      <c r="C7" s="4"/>
      <c r="F7" s="5"/>
      <c r="G7" s="5"/>
      <c r="H7" s="5"/>
      <c r="I7" s="5"/>
      <c r="J7" s="5"/>
      <c r="L7" s="5"/>
      <c r="V7" s="5"/>
    </row>
    <row r="8" spans="1:23">
      <c r="C8" s="4"/>
      <c r="F8" s="5"/>
    </row>
    <row r="18" spans="5:5">
      <c r="E18" s="4"/>
    </row>
  </sheetData>
  <mergeCells count="5">
    <mergeCell ref="N1:O1"/>
    <mergeCell ref="P1:Q1"/>
    <mergeCell ref="R1:S1"/>
    <mergeCell ref="M1:M2"/>
    <mergeCell ref="T1:U1"/>
  </mergeCells>
  <dataValidations count="4">
    <dataValidation type="decimal" operator="greaterThan" allowBlank="1" showInputMessage="1" showErrorMessage="1" errorTitle="Wrong entry!" error="Entry is required. It has to be a nonnegative value." promptTitle="test" sqref="E2" xr:uid="{00000000-0002-0000-0300-000000000000}">
      <formula1>0</formula1>
    </dataValidation>
    <dataValidation type="decimal" allowBlank="1" showInputMessage="1" showErrorMessage="1" errorTitle="Wrong entry!" error="Entry is required. It hast to be a number between 0 and 330." sqref="O6" xr:uid="{00000000-0002-0000-0300-000001000000}">
      <formula1>0</formula1>
      <formula2>330</formula2>
    </dataValidation>
    <dataValidation type="decimal" showInputMessage="1" showErrorMessage="1" errorTitle="Wrong entry!" error="Entry is required. It has to be a number between 0 and 330." sqref="N6" xr:uid="{00000000-0002-0000-0300-000002000000}">
      <formula1>0</formula1>
      <formula2>330</formula2>
    </dataValidation>
    <dataValidation type="decimal" showInputMessage="1" showErrorMessage="1" errorTitle="Wrong entry!" error="Entry is required. It has to be a number between 0 and 10." sqref="P6" xr:uid="{00000000-0002-0000-0300-000003000000}">
      <formula1>0</formula1>
      <formula2>10</formula2>
    </dataValidation>
  </dataValidations>
  <pageMargins left="0.7" right="0.7" top="0.78740157499999996" bottom="0.78740157499999996" header="0.3" footer="0.3"/>
  <pageSetup paperSize="9" scale="39"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A01E84-E5A8-4F76-9CA2-337E0C99445B}">
  <sheetPr codeName="Tabelle1"/>
  <dimension ref="A1:F14"/>
  <sheetViews>
    <sheetView showGridLines="0" topLeftCell="A2" zoomScale="70" zoomScaleNormal="70" workbookViewId="0">
      <selection activeCell="C5" sqref="C5"/>
    </sheetView>
  </sheetViews>
  <sheetFormatPr baseColWidth="10" defaultRowHeight="15"/>
  <cols>
    <col min="1" max="1" width="48.28515625" style="74" customWidth="1"/>
    <col min="2" max="2" width="54.7109375" style="74" customWidth="1"/>
    <col min="3" max="3" width="50.42578125" style="74" customWidth="1"/>
    <col min="4" max="4" width="45.5703125" style="74" customWidth="1"/>
    <col min="5" max="5" width="45.7109375" style="74" customWidth="1"/>
    <col min="6" max="6" width="28.28515625" customWidth="1"/>
  </cols>
  <sheetData>
    <row r="1" spans="1:6">
      <c r="A1" s="75" t="s">
        <v>57</v>
      </c>
      <c r="B1" s="77" t="s">
        <v>58</v>
      </c>
      <c r="C1" s="75" t="s">
        <v>27</v>
      </c>
      <c r="D1" s="75" t="s">
        <v>28</v>
      </c>
    </row>
    <row r="2" spans="1:6" ht="93.6" customHeight="1">
      <c r="A2" s="20" t="str">
        <f>"G0"&amp;
      " Z"&amp;calc1!$U$3&amp;
      " F"&amp;initialize!W3</f>
        <v>G0 Z3,5 F500</v>
      </c>
      <c r="B2" s="20" t="str">
        <f>"M201"&amp;
      " E"&amp;initialize!AA2&amp;
      " X"&amp;initialize!AA3&amp;
      " Y"&amp;initialize!AA3&amp;
      " Z"&amp;initialize!AA4&amp;
      REPT(CHAR(9),3)&amp;
      "; increase max. acceleration"&amp;
      CHAR(10)&amp;
   "M203"&amp;
      " E"&amp;initialize!Z2&amp;
      " X"&amp;initialize!Z3&amp;
      " Y"&amp;initialize!Z3&amp;
      " Z"&amp;initialize!Z4&amp;
      REPT(CHAR(9),2)&amp;
      "; increase max. feedrate"&amp;
      CHAR(10)&amp;
   "G90"&amp;
      REPT(CHAR(9),7)&amp;
      "; absolute positioning"&amp;
      CHAR(10)&amp;
   "M83"&amp;
      REPT(CHAR(9),7)&amp;
      "; put E axis into relative mode"&amp;
      CHAR(10)&amp;
   "G28"&amp;
      REPT(CHAR(9),7)&amp;
      "; homing"</f>
        <v>M201 E2000 X2000 Y2000 Z200			; increase max. acceleration
M203 E10000 X20000 Y20000 Z10000		; increase max. feedrate
G90							; absolute positioning
M83							; put E axis into relative mode
G28							; homing</v>
      </c>
      <c r="C2" s="20" t="str">
        <f>"G0"&amp;
      " Z"&amp;calc1!U3&amp;
      " F"&amp;initialize!W3&amp;
      CHAR(10)&amp;
   "G0"&amp;
      " X"&amp;initialize!L5&amp;
      " Y"&amp;initialize!M5&amp;
      " F"&amp;initialize!W2&amp;
      REPT(CHAR(9),6)&amp;
      "; move to parking position"&amp;
      CHAR(10)&amp;
   "G0"&amp;
      " Z"&amp;initialize!N5&amp;
      " F"&amp;initialize!$W$3</f>
        <v>G0 Z3,5 F500
G0 X250 Y330 F20000						; move to parking position
G0 Z0,05 F500</v>
      </c>
      <c r="D2" s="20" t="str">
        <f>"G4 S1"&amp;
       REPT(CHAR(9),7)&amp;
       "; waiting time to prevent abortion of the printing process"&amp;
       CHAR(10)&amp;
    REPT(
       "G4 S1"&amp;CHAR(10),
       7)</f>
        <v xml:space="preserve">G4 S1							; waiting time to prevent abortion of the printing process
G4 S1
G4 S1
G4 S1
G4 S1
G4 S1
G4 S1
G4 S1
</v>
      </c>
    </row>
    <row r="3" spans="1:6">
      <c r="A3" s="78"/>
      <c r="B3" s="78"/>
      <c r="C3" s="78"/>
      <c r="D3" s="78"/>
      <c r="E3" s="79"/>
      <c r="F3" s="1"/>
    </row>
    <row r="4" spans="1:6">
      <c r="A4" s="80" t="s">
        <v>53</v>
      </c>
      <c r="B4" s="81" t="s">
        <v>9</v>
      </c>
      <c r="C4" s="82" t="s">
        <v>3</v>
      </c>
    </row>
    <row r="5" spans="1:6" ht="227.45" customHeight="1">
      <c r="A5" s="71" t="str">
        <f xml:space="preserve"> "; sampling"&amp;
        CHAR(10)&amp;
  "G0"&amp;
      " E"&amp;calc1!$B$3&amp;
      " F"&amp;initialize!$W$8 &amp;
       REPT(CHAR(9),5)&amp;
       "; extrusion in sample"&amp;
      CHAR(10)&amp;
   "G0"&amp;
      " E"&amp;initialize!$T$2&amp;
      " F" &amp;initialize!$W$8&amp;
       REPT(CHAR(9),6)&amp;
       "; partially retract in sample"</f>
        <v>; sampling
G0 E-10,783 F500					; extrusion in sample
G0 E5 F500						; partially retract in sample</v>
      </c>
      <c r="B5" s="71" t="str">
        <f xml:space="preserve"> "; spotting"&amp;
      CHAR(10)&amp;
   "G0"&amp;
      " E"&amp;calc1!$B$4&amp;
      " F"&amp;modify!$H$4&amp;
       REPT(CHAR(9),5)&amp;
       "; first extrusion per spot"&amp;
      CHAR(10)&amp;
    "G4"&amp;
      " P"&amp;initialize!$T$3&amp;
       REPT(CHAR(9),6)&amp;
       "; waiting time on spot after extrusion"&amp;
   REPT(CHAR(10)&amp;
                                 "G0"&amp;
                                    " Z" &amp;initialize!Q4+calc1!P6&amp;
                                    " F"&amp;initialize!$W$4&amp;
                                    CHAR(10)&amp;
                                 "G4 S"&amp;modify!$H$5&amp;
                                    CHAR(10)&amp;
                                 "G0"&amp;
                                    " Z"&amp;calc1!$P$6&amp;
                                    " F"&amp;initialize!$W$4&amp;
                                    CHAR(10)&amp;
                                 "G0"&amp;
                                    " E"&amp;calc1!$B$4&amp;
                                    " F"&amp;modify!$H$4&amp;
                                    CHAR(10)&amp;
                                 "G4 P"&amp;initialize!$T$3,
                                modify!$H$3-1)</f>
        <v>; spotting
G0 E0,0783 F25					; first extrusion per spot
G4 P300						; waiting time on spot after extrusion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v>
      </c>
      <c r="C5" s="71" t="str">
        <f>"; waste"&amp;
  CHAR(10)&amp;
  "G0 "&amp;
      "Z"&amp;initialize!$N$6&amp;
      " F"&amp;initialize!$W$3&amp;
      CHAR(10)&amp;
  "G0"&amp;
      " X"&amp;initialize!$L$3&amp;
      " Y"&amp;initialize!$M$3&amp;
      " F"&amp;initialize!$W$2&amp;
       REPT(CHAR(9),4)&amp;
       "; move to waste bin"&amp;
      CHAR(10)&amp;
  "G0"&amp;
      " Z"&amp;initialize!$N$3&amp;
      " F"&amp;initialize!$W$3&amp;
      CHAR(10)&amp;
  "G0"&amp;
      " E"&amp;initialize!$T$4&amp;
      " F"&amp;initialize!$W$7&amp;
       REPT(CHAR(9),6)&amp;
       "; extrude rest of sample solution"&amp;
      CHAR(10)&amp;
   "G4 P"&amp;
       initialize!T5&amp;
       REPT(CHAR(9),6)&amp;
       "; pause for 100ms"</f>
        <v>; waste
G0 Z3,5 F500
G0 X226 Y212 F20000				; move to waste bin
G0 Z2 F500
G0 E5 F2500						; extrude rest of sample solution
G4 P300						; pause for 100ms</v>
      </c>
    </row>
    <row r="6" spans="1:6">
      <c r="A6" s="78"/>
      <c r="B6" s="78"/>
      <c r="C6" s="78"/>
      <c r="D6" s="78"/>
      <c r="E6" s="79"/>
      <c r="F6" s="1"/>
    </row>
    <row r="7" spans="1:6">
      <c r="A7" s="75" t="s">
        <v>2</v>
      </c>
      <c r="B7" s="75" t="s">
        <v>4</v>
      </c>
      <c r="C7" s="83" t="s">
        <v>75</v>
      </c>
      <c r="D7" s="83" t="s">
        <v>65</v>
      </c>
      <c r="E7" s="83" t="s">
        <v>66</v>
      </c>
    </row>
    <row r="8" spans="1:6" ht="117" customHeight="1">
      <c r="A8" s="20" t="str">
        <f>"G0"&amp;
      " Z"&amp;initialize!$N$6&amp;
      " F"&amp;initialize!$W$3&amp;
      CHAR(10)&amp;
   "G0"&amp;
      " X"&amp;initialize!$L$2&amp;
      " Y"&amp;initialize!$M$2&amp;
      " F"&amp;initialize!$W$2&amp;
       REPT(CHAR(9),4)&amp;
       "; move to cleaning solution"&amp;
      CHAR(10)&amp;
   "G0"&amp;
      " Z"&amp;initialize!$N$2&amp;
      " F"&amp;initialize!$W$3&amp;
      CHAR(10)&amp;
   "G0"&amp;
      " E"&amp;calc1!$B$5&amp;
      " F"&amp;initialize!$W$8&amp;
      REPT(CHAR(9),5)&amp;
      "; retract"</f>
        <v>G0 Z3,5 F500
G0 X191 Y212 F20000				; move to cleaning solution
G0 Z0,05 F500
G0 E-16,1745 F500					; retract</v>
      </c>
      <c r="B8" s="20" t="str">
        <f>"G0 "&amp;
"Z"&amp;calc1!$U$3&amp;
" F"&amp;initialize!$W$3&amp;
CHAR(10)&amp;
"G0"&amp;
" X"&amp;initialize!$L$3&amp;
" Y"&amp;initialize!$M$3&amp;
" F"&amp;initialize!$W$2&amp;
REPT(CHAR(9),4)&amp;
"; move to waste bin"&amp;
CHAR(10)&amp;
"G0"&amp;
" Z"&amp;initialize!$N$3&amp;
" F"&amp;initialize!$W$3&amp;
CHAR(10)&amp;
"G0"&amp;
" E"&amp;-calc1!$B$5&amp;
" F"&amp;initialize!$W$7&amp;
REPT(CHAR(9),5)&amp;
"; extrude cleaning solution"&amp;
CHAR(10)&amp;
"G4 P"&amp;
initialize!T5&amp;
REPT(CHAR(9),6)&amp;
";pause"</f>
        <v>G0 Z3,5 F500
G0 X226 Y212 F20000				; move to waste bin
G0 Z2 F500
G0 E16,1745 F2500					; extrude cleaning solution
G4 P300						;pause</v>
      </c>
      <c r="C8" s="20" t="str">
        <f>calc2!$A$8&amp;CHAR(10)&amp;calc2!$B$8</f>
        <v>G0 Z3,5 F500
G0 X191 Y212 F20000				; move to cleaning solution
G0 Z0,05 F500
G0 E-16,1745 F500					; retract
G0 Z3,5 F500
G0 X226 Y212 F20000				; move to waste bin
G0 Z2 F500
G0 E16,1745 F2500					; extrude cleaning solution
G4 P300						;pause</v>
      </c>
      <c r="D8" s="41" t="str">
        <f t="array" ref="D8">IF(modify!K4&gt;0,
"; cleaning at the start"&amp;
CHAR(10)&amp;
calc2!$C$8&amp;
REPT(
CHAR(10)&amp;
calc2!$C$8,
modify!K4-1),"")</f>
        <v>; cleaning at the start
G0 Z3,5 F500
G0 X191 Y212 F20000				; move to cleaning solution
G0 Z0,05 F500
G0 E-16,1745 F500					; retract
G0 Z3,5 F500
G0 X226 Y212 F20000				; move to waste bin
G0 Z2 F500
G0 E16,1745 F2500					; extrude cleaning solution
G4 P300						;pause
G0 Z3,5 F500
G0 X191 Y212 F20000				; move to cleaning solution
G0 Z0,05 F500
G0 E-16,1745 F500					; retract
G0 Z3,5 F500
G0 X226 Y212 F20000				; move to waste bin
G0 Z2 F500
G0 E16,1745 F2500					; extrude cleaning solution
G4 P300						;pause</v>
      </c>
      <c r="E8" s="41" t="str">
        <f xml:space="preserve">    IF(modify!K5&gt;0,
          "; cleaning at the end"&amp;
           CHAR(10)&amp;
           calc2!$C$8 &amp;
            REPT(
                CHAR(10)&amp;
                calc2!$C$8,
                 modify!K5-1),"")</f>
        <v>; cleaning at the end
G0 Z3,5 F500
G0 X191 Y212 F20000				; move to cleaning solution
G0 Z0,05 F500
G0 E-16,1745 F500					; retract
G0 Z3,5 F500
G0 X226 Y212 F20000				; move to waste bin
G0 Z2 F500
G0 E16,1745 F2500					; extrude cleaning solution
G4 P300						;pause
G0 Z3,5 F500
G0 X191 Y212 F20000				; move to cleaning solution
G0 Z0,05 F500
G0 E-16,1745 F500					; retract
G0 Z3,5 F500
G0 X226 Y212 F20000				; move to waste bin
G0 Z2 F500
G0 E16,1745 F2500					; extrude cleaning solution
G4 P300						;pause</v>
      </c>
    </row>
    <row r="9" spans="1:6">
      <c r="C9" s="84"/>
    </row>
    <row r="10" spans="1:6" ht="30">
      <c r="A10" s="82" t="s">
        <v>32</v>
      </c>
      <c r="B10" s="85" t="s">
        <v>78</v>
      </c>
      <c r="C10" s="86" t="s">
        <v>228</v>
      </c>
    </row>
    <row r="11" spans="1:6" ht="220.9" customHeight="1">
      <c r="A11" s="71" t="str">
        <f>"G0"&amp;
      " X"&amp;initialize!L4&amp;
      " Y" &amp;initialize!M4&amp;
      " F" &amp;initialize!W2&amp;
      CHAR(10)&amp;
   "G0"&amp;
      " Z"&amp;initialize!N4&amp;
      " F"&amp;initialize!W3</f>
        <v>G0 X175,8 Y59 F20000
G0 Z0,9 F500</v>
      </c>
      <c r="B11" s="87" t="str">
        <f xml:space="preserve">  "G0"&amp;
      " X"&amp;initialize!$L$2&amp;
      " Y"&amp;initialize!$M$2&amp;
      " F"&amp;initialize!$W$2&amp;
       REPT(CHAR(9),4)&amp;
       "; move to cleaning solution"&amp;
      CHAR(10)&amp;
   "G0"&amp;
      " Z"&amp;initialize!N2&amp;
      " F"&amp;initialize!W3&amp;
      CHAR(10)&amp;
      "G1"&amp;
         " E"&amp;initialize!Q9&amp;
         " F"&amp;initialize!$W$5&amp;
         REPT(CHAR(9),5)&amp;
         "; fill syringe"&amp;
         CHAR(10)&amp;
      "G4"&amp;
        " S"&amp;initialize!$T$9&amp;
         REPT(CHAR(9),7)&amp;
         "; waiting time to fill syringe"&amp;
         CHAR(10)&amp;
      "G1"&amp;
          " E"&amp;-initialize!Q9&amp;
          " F"&amp;initialize!W6&amp;
         REPT(CHAR(9),5)&amp;
         "; empty syringe"&amp;
   REPT(
            CHAR(10)&amp;
            "G1"&amp;
            " E"&amp;initialize!Q9&amp;
            " F"&amp;initialize!$W$5&amp;
            CHAR(10)&amp;
         "G4 S"&amp;initialize!$T$9&amp;
            CHAR(10)&amp;
         "G1"&amp;
            " E"&amp;-initialize!Q9&amp;
            " F"&amp;initialize!W6,
         initialize!T10-1)</f>
        <v>G0 X191 Y212 F20000				; move to cleaning solution
G0 Z0,05 F500
G1 E-248 F900					; fill syringe
G4 S1							; waiting time to fill syringe
G1 E248 F10000					; empty syringe
G1 E-248 F900
G4 S1
G1 E248 F10000
G1 E-248 F900
G4 S1
G1 E248 F10000</v>
      </c>
      <c r="C11" s="88" t="str">
        <f>REPT("M300 S880 P75" &amp;CHAR(10)&amp;
"M300 S0 P880" &amp;CHAR(10)&amp;
"M300 S880 P75"&amp;CHAR(10)&amp;
"M300 S0 P75"&amp;CHAR(10)&amp;
"M300 S880 P75"&amp;CHAR(10)&amp;
"M300 S0 P300"&amp;CHAR(10)&amp;
"M300 S880 P75"&amp;CHAR(10)&amp;
"M300 S0 P880"&amp;CHAR(10)&amp;
"M300 S880 P75"&amp;CHAR(10)&amp;
"M300 S0 P300"&amp;CHAR(10)&amp;
"M300 S880 P75"&amp;CHAR(10)&amp;
"M300 S0 P880"&amp;CHAR(10),3)</f>
        <v xml:space="preserve">M300 S880 P75
M300 S0 P880
M300 S880 P75
M300 S0 P75
M300 S880 P75
M300 S0 P300
M300 S880 P75
M300 S0 P880
M300 S880 P75
M300 S0 P300
M300 S880 P75
M300 S0 P880
M300 S880 P75
M300 S0 P880
M300 S880 P75
M300 S0 P75
M300 S880 P75
M300 S0 P300
M300 S880 P75
M300 S0 P880
M300 S880 P75
M300 S0 P300
M300 S880 P75
M300 S0 P880
M300 S880 P75
M300 S0 P880
M300 S880 P75
M300 S0 P75
M300 S880 P75
M300 S0 P300
M300 S880 P75
M300 S0 P880
M300 S880 P75
M300 S0 P300
M300 S880 P75
M300 S0 P880
</v>
      </c>
    </row>
    <row r="13" spans="1:6" ht="30">
      <c r="A13" s="77" t="s">
        <v>55</v>
      </c>
      <c r="B13" s="77" t="s">
        <v>56</v>
      </c>
      <c r="C13" s="77" t="s">
        <v>67</v>
      </c>
      <c r="D13" s="89" t="s">
        <v>220</v>
      </c>
    </row>
    <row r="14" spans="1:6">
      <c r="A14" s="20" t="str">
        <f>"M104"&amp;
      " S"&amp;modify!E4&amp;
      REPT(CHAR(9),6)&amp;
      "; turn heating on"</f>
        <v>M104 S50						; turn heating on</v>
      </c>
      <c r="B14" s="90" t="str">
        <f>"M104"&amp;
      " S0"&amp;
       REPT(CHAR(9),6)&amp;
       "; turn heating off"</f>
        <v>M104 S0						; turn heating off</v>
      </c>
      <c r="C14" s="91" t="str">
        <f>"M302 S0"&amp;
    REPT(CHAR(9),6)&amp;
    "; enable cold extrusion"</f>
        <v>M302 S0						; enable cold extrusion</v>
      </c>
      <c r="D14" s="92" t="str">
        <f>"M109"&amp;
      " S"&amp;modify!E4&amp;
       REPT(CHAR(9),6)&amp;
       "; wait for hotend temperature"</f>
        <v>M109 S50						; wait for hotend temperature</v>
      </c>
    </row>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8"/>
  <dimension ref="A1:O103"/>
  <sheetViews>
    <sheetView showGridLines="0" zoomScale="70" zoomScaleNormal="70" workbookViewId="0">
      <selection activeCell="O5" sqref="O5"/>
    </sheetView>
  </sheetViews>
  <sheetFormatPr baseColWidth="10" defaultColWidth="10.7109375" defaultRowHeight="15"/>
  <cols>
    <col min="1" max="1" width="7.7109375" style="19" customWidth="1"/>
    <col min="2" max="2" width="6" style="69" customWidth="1"/>
    <col min="3" max="3" width="4.42578125" style="44" bestFit="1" customWidth="1"/>
    <col min="4" max="4" width="7" style="69" bestFit="1" customWidth="1"/>
    <col min="5" max="5" width="7.28515625" style="23" bestFit="1" customWidth="1"/>
    <col min="6" max="6" width="8" style="69" customWidth="1"/>
    <col min="7" max="7" width="13.28515625" style="23" bestFit="1" customWidth="1"/>
    <col min="8" max="8" width="4.5703125" style="69" customWidth="1"/>
    <col min="9" max="9" width="8.5703125" style="23" customWidth="1"/>
    <col min="10" max="10" width="8.7109375" style="69" customWidth="1"/>
    <col min="11" max="11" width="42.42578125" style="42" customWidth="1"/>
    <col min="12" max="12" width="50.28515625" style="69" customWidth="1"/>
    <col min="13" max="13" width="48.42578125" style="23" customWidth="1"/>
    <col min="14" max="14" width="52.7109375" style="69" customWidth="1"/>
    <col min="15" max="15" width="13.5703125" customWidth="1"/>
    <col min="16" max="16" width="27.42578125" customWidth="1"/>
  </cols>
  <sheetData>
    <row r="1" spans="1:15" ht="31.15" customHeight="1">
      <c r="A1" s="21" t="s">
        <v>59</v>
      </c>
      <c r="B1" s="68" t="s">
        <v>60</v>
      </c>
      <c r="C1" s="43" t="s">
        <v>172</v>
      </c>
      <c r="D1" s="68" t="s">
        <v>171</v>
      </c>
      <c r="E1" s="67" t="s">
        <v>61</v>
      </c>
      <c r="F1" s="68" t="s">
        <v>62</v>
      </c>
      <c r="G1" s="67" t="s">
        <v>63</v>
      </c>
      <c r="H1" s="68" t="s">
        <v>64</v>
      </c>
      <c r="I1" s="22" t="s">
        <v>5</v>
      </c>
      <c r="J1" s="70" t="s">
        <v>8</v>
      </c>
      <c r="K1" s="67" t="s">
        <v>0</v>
      </c>
      <c r="L1" s="70" t="s">
        <v>1</v>
      </c>
      <c r="M1" s="22" t="s">
        <v>54</v>
      </c>
      <c r="N1" s="70" t="s">
        <v>6</v>
      </c>
      <c r="O1" s="2"/>
    </row>
    <row r="2" spans="1:15" ht="344.1" customHeight="1">
      <c r="A2" s="19">
        <v>1</v>
      </c>
      <c r="B2" s="69">
        <f>IF(calc3!I2=TRUE,
      COUNTIF(calc3!$I$2:I2,TRUE),
      "")</f>
        <v>1</v>
      </c>
      <c r="C2" s="44">
        <f>IF(calc3!I2=TRUE,ROUNDUP(calc3!A2/calc1!$N$3,0),"")</f>
        <v>1</v>
      </c>
      <c r="D2" s="69">
        <f>IF(calc3!I2=TRUE,MOD((calc3!A2-1),calc1!$N$3),"")</f>
        <v>0</v>
      </c>
      <c r="E2" s="23">
        <f>IF(AND(calc3!I2=TRUE,
                         C2&lt;=calc1!$O$3),
          IF(calc1!$O$3=1,
               calc1!$P$3,
      INT((calc3!A2-1)/calc1!$N$3)*calc1!$H$5+calc1!$P$3),
      "")</f>
        <v>0</v>
      </c>
      <c r="F2" s="69">
        <f>IF(AND(calc3!I2=TRUE,
                        C2&lt;=calc1!$O$3),
      IF(
            calc1!$N$3=1,
                  calc1!$Q$3,
            IF(modify!$B$3="s-shape, starting at back left corner",
                  IF(ISODD(C2),
                             calc1!Q$3+D2*calc1!$H$4,
                              calc1!$S$3-D2*calc1!$H$4),
           IF(modify!$B$3="s-shape, starting at front left corner",
                  IF(ISEVEN(C2),
                              calc1!$Q$3+D2*calc1!$H$4,
                              calc1!$S$3-D2*calc1!$H$4),
            IF(modify!$B$3="non alternating, starting at back left corner",
                  calc1!$Q$3+D2*calc1!$H$4,
            IF(modify!$B$3="non alternating, starting at front left corner",
                  calc1!$S$3-D2*calc1!$H$4,
      ""))))),"")</f>
        <v>295</v>
      </c>
      <c r="G2" s="23">
        <f>IF(calc3!I2=TRUE,
      IF(
            calc3!B2&lt;=calc1!$E$3,
                  calc1!$N$6-initialize!$Q$2/(calc1!$E$3+1)*calc3!B2,
            IF(calc3!B2&lt;=calc1!$E$3+calc1!$E$4,
                  calc1!$N$6-initialize!$Q$2/(calc1!$E$4+1)*(calc3!B2-calc1!$E$3)-calc1!$E$2-initialize!$Q$2,
           IF(calc3!B2&lt;=calc1!$H$3,
                  calc1!$N$6-initialize!$Q$2/(calc1!$E$5+1)*(calc3!B2-calc1!$E$3-calc1!$E$4)-(calc1!$E$2+initialize!$Q$2)*2,""))),"")</f>
        <v>297.36363636363637</v>
      </c>
      <c r="H2" s="69">
        <f>IF(AND(calc3!I2=TRUE,
                         ROUNDUP(calc3!A2/calc1!$N$3,0)&lt;=calc1!$O$3),
      calc1!$O$6-initialize!$Q$3,
      "")</f>
        <v>122</v>
      </c>
      <c r="I2" s="23" t="b">
        <f>IF(AND(calc3!A2&gt;0,
                         calc3!A2&lt;=calc1!$H$2),
      IF(MOD(calc3!A2-1,modify!$B$6)=0,
            TRUE,
            FALSE),
      "")</f>
        <v>1</v>
      </c>
      <c r="J2" s="69" t="b">
        <f>IF(I2=TRUE,
      IF(MOD(calc3!B2,modify!$K$2)=0,
            TRUE,
            FALSE),
      "")</f>
        <v>1</v>
      </c>
      <c r="K2" s="20" t="str">
        <f>IF(I2=TRUE,
    "; rack"&amp;
    CHAR(10)&amp;
   "G0"&amp;
      " Z"&amp;calc1!$U$3&amp;
      " F"&amp; initialize!$W$3&amp;
      CHAR(10)&amp;
    "G0"&amp;
      " X"&amp;E2&amp;
      " Y"&amp;F2&amp;
      " F"&amp; initialize!$W$2&amp;
       REPT(CHAR(9),4)&amp;
       "; move to sample No. "&amp;A2&amp;
      CHAR(10)&amp;
   "G0"&amp;
      " Z"&amp;calc1!$T$3&amp;
      " F"&amp;initialize!$W$3,
 "")</f>
        <v>; rack
G0 Z3,5 F500
G0 X0 Y295 F20000				; move to sample No. 1
G0 Z0,05 F500</v>
      </c>
      <c r="L2" s="71" t="str">
        <f>IF(calc3!I2=TRUE,
   "G0 "&amp;
      "Z"&amp;calc1!$U$3 &amp;
      " F"&amp;initialize!$W$3&amp;
      CHAR(10)&amp;
   "G0"&amp;
      " X"&amp;calc3!G2&amp;
      " Y"&amp;H2&amp;
      " F"&amp;initialize!$W$2&amp;
       REPT(CHAR(9),4)&amp;
       "; move to spot No."&amp;B2&amp;
      CHAR(10)&amp;
   "G0"&amp;
      " Z"&amp;calc1!$P$6+initialize!$Q$4&amp;
      " F"&amp;initialize!$W$3&amp;
       REPT(CHAR(9),5)&amp;
       "; decrease z-velocity for contact with TLC"&amp;
      CHAR(10)&amp;
   "G0"&amp;
      " Z"&amp;calc1!$P$6&amp;
      " F"&amp;initialize!$W$4,
  "")</f>
        <v>G0 Z3,5 F500
G0 X297,363636363636 Y122 F20000				; move to spot No.1
G0 Z1,35 F500					; decrease z-velocity for contact with TLC
G0 Z0,35 F100</v>
      </c>
      <c r="M2" s="20" t="str">
        <f>IF(AND(calc3!J2=TRUE,I3&lt;&gt;"", modify!$K$3&gt;0),
        "; cleaning process"&amp;
         CHAR(10)&amp;
         calc2!$C$8 &amp;
          REPT(
               CHAR(10)&amp;
               calc2!$C$8, modify!$K$3-1),
      "")</f>
        <v>; cleaning process
G0 Z3,5 F500
G0 X191 Y212 F20000				; move to cleaning solution
G0 Z0,05 F500
G0 E-16,1745 F500					; retract
G0 Z3,5 F500
G0 X226 Y212 F20000				; move to waste bin
G0 Z2 F500
G0 E16,1745 F2500					; extrude cleaning solution
G4 P300						;pause</v>
      </c>
      <c r="N2" s="71" t="str">
        <f>IF(calc3!I2=TRUE,
      CHAR(10)&amp;
      "; Spot No."&amp;B2&amp;
      CHAR(10)&amp;
             IF(K2="", "", K2)&amp;                        REPLACE(N("rack"),1,1,"")&amp;CHAR(10)&amp;
             IF(calc2!$A$5="","",calc2!$A$5)&amp;        REPLACE(N("retraction"),1,1,"")&amp;CHAR(10)&amp;
             IF(L2="", "", L2)&amp;                           REPLACE(N("TLC"),1,1,"")&amp;CHAR(10)&amp;
             IF(calc2!$B$5="","",calc2!$B$5)&amp;         REPLACE(N("extrusion"),1,1,"")&amp;CHAR(10)&amp;
             IF(calc2!$C$5="","",calc2!$C$5)&amp;         REPLACE(N("waste"),1,1,"")&amp;CHAR(10)&amp;
             IF(M2="", "", M2)&amp;                          REPLACE(N("cleaning process"),1,1,""),
      "")</f>
        <v xml:space="preserve">
; Spot No.1
; rack
G0 Z3,5 F500
G0 X0 Y295 F20000				; move to sample No. 1
G0 Z0,05 F500
; sampling
G0 E-10,783 F500					; extrusion in sample
G0 E5 F500						; partially retract in sample
G0 Z3,5 F500
G0 X297,363636363636 Y122 F20000				; move to spot No.1
G0 Z1,35 F500					; decrease z-velocity for contact with TLC
G0 Z0,35 F100
; spotting
G0 E0,0783 F25					; first extrusion per spot
G4 P300						; waiting time on spot after extrusion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 waste
G0 Z3,5 F500
G0 X226 Y212 F20000				; move to waste bin
G0 Z2 F500
G0 E5 F2500						; extrude rest of sample solution
G4 P300						; pause for 100ms
; cleaning process
G0 Z3,5 F500
G0 X191 Y212 F20000				; move to cleaning solution
G0 Z0,05 F500
G0 E-16,1745 F500					; retract
G0 Z3,5 F500
G0 X226 Y212 F20000				; move to waste bin
G0 Z2 F500
G0 E16,1745 F2500					; extrude cleaning solution
G4 P300						;pause</v>
      </c>
    </row>
    <row r="3" spans="1:15" ht="14.65" customHeight="1">
      <c r="A3" s="19">
        <v>2</v>
      </c>
      <c r="B3" s="69">
        <f>IF(calc3!I3=TRUE,
      COUNTIF(calc3!$I$2:I3,TRUE),
      "")</f>
        <v>2</v>
      </c>
      <c r="C3" s="44">
        <f>IF(calc3!I3=TRUE,ROUNDUP(calc3!A3/calc1!$N$3,0),"")</f>
        <v>1</v>
      </c>
      <c r="D3" s="69">
        <f>IF(calc3!I3=TRUE,MOD((calc3!A3-1),calc1!$N$3),"")</f>
        <v>1</v>
      </c>
      <c r="E3" s="23">
        <f>IF(AND(calc3!I3=TRUE,
                         C3&lt;=calc1!$O$3),
          IF(calc1!$O$3=1,
               calc1!$P$3,
      INT((calc3!A3-1)/calc1!$N$3)*calc1!$H$5+calc1!$P$3),
      "")</f>
        <v>0</v>
      </c>
      <c r="F3" s="69">
        <f>IF(AND(calc3!I3=TRUE,
                        C3&lt;=calc1!$O$3),
      IF(
            calc1!$N$3=1,
                  calc1!$Q$3,
            IF(modify!$B$3="s-shape, starting at back left corner",
                  IF(ISODD(C3),
                             calc1!Q$3+D3*calc1!$H$4,
                              calc1!$S$3-D3*calc1!$H$4),
           IF(modify!$B$3="s-shape, starting at front left corner",
                  IF(ISEVEN(C3),
                              calc1!$Q$3+D3*calc1!$H$4,
                              calc1!$S$3-D3*calc1!$H$4),
            IF(modify!$B$3="non alternating, starting at back left corner",
                  calc1!$Q$3+D3*calc1!$H$4,
            IF(modify!$B$3="non alternating, starting at front left corner",
                  calc1!$S$3-D3*calc1!$H$4,
      ""))))),"")</f>
        <v>262.83333333333331</v>
      </c>
      <c r="G3" s="23">
        <f>IF(calc3!I3=TRUE,
      IF(
            calc3!B3&lt;=calc1!$E$3,
                  calc1!$N$6-initialize!$Q$2/(calc1!$E$3+1)*calc3!B3,
            IF(calc3!B3&lt;=calc1!$E$3+calc1!$E$4,
                  calc1!$N$6-initialize!$Q$2/(calc1!$E$4+1)*(calc3!B3-calc1!$E$3)-calc1!$E$2-initialize!$Q$2,
           IF(calc3!B3&lt;=calc1!$H$3,
                  calc1!$N$6-initialize!$Q$2/(calc1!$E$5+1)*(calc3!B3-calc1!$E$3-calc1!$E$4)-(calc1!$E$2+initialize!$Q$2)*2,""))),"")</f>
        <v>293.72727272727275</v>
      </c>
      <c r="H3" s="69">
        <f>IF(AND(calc3!I3=TRUE,
                         ROUNDUP(calc3!A3/calc1!$N$3,0)&lt;=calc1!$O$3),
      calc1!$O$6-initialize!$Q$3,
      "")</f>
        <v>122</v>
      </c>
      <c r="I3" s="23" t="b">
        <f>IF(AND(calc3!A3&gt;0,
                         calc3!A3&lt;=calc1!$H$2),
      IF(MOD(calc3!A3-1,modify!$B$6)=0,
            TRUE,
            FALSE),
      "")</f>
        <v>1</v>
      </c>
      <c r="J3" s="69" t="b">
        <f>IF(I3=TRUE,
      IF(MOD(calc3!B3,modify!$K$2)=0,
            TRUE,
            FALSE),
      "")</f>
        <v>1</v>
      </c>
      <c r="K3" s="20" t="str">
        <f>IF(I3=TRUE,
   "G0"&amp;
      " Z"&amp;calc1!$U$3&amp;
      " F"&amp; initialize!$W$3&amp;
      CHAR(10)&amp;
    "G0"&amp;
      " X"&amp;E3&amp;
      " Y"&amp;F3&amp;
      " F"&amp; initialize!$W$2&amp;
       REPT(CHAR(9),4)&amp;
       "; move to sample No. "&amp;A3&amp;
      CHAR(10)&amp;
   "G0"&amp;
      " Z"&amp;calc1!$T$3&amp;
      " F"&amp;initialize!$W$3,
 "")</f>
        <v>G0 Z3,5 F500
G0 X0 Y262,833333333333 F20000				; move to sample No. 2
G0 Z0,05 F500</v>
      </c>
      <c r="L3" s="71" t="str">
        <f>IF(calc3!I3=TRUE,
   "G0 "&amp;
      "Z"&amp;calc1!$U$3 &amp;
      " F"&amp;initialize!$W$3&amp;
      CHAR(10)&amp;
   "G0"&amp;
      " X"&amp;calc3!G3&amp;
      " Y"&amp;H3&amp;
      " F"&amp;initialize!$W$2&amp;
       REPT(CHAR(9),4)&amp;
       "; move to spot No."&amp;B3&amp;
      CHAR(10)&amp;
   "G0"&amp;
      " Z"&amp;calc1!$P$6+initialize!$Q$4&amp;
      " F"&amp;initialize!$W$3&amp;
       REPT(CHAR(9),5)&amp;
       "; decrease z-velocity for contact with TLC"&amp;
      CHAR(10)&amp;
   "G0"&amp;
      " Z"&amp;calc1!$P$6&amp;
      " F"&amp;initialize!$W$4,
  "")</f>
        <v>G0 Z3,5 F500
G0 X293,727272727273 Y122 F20000				; move to spot No.2
G0 Z1,35 F500					; decrease z-velocity for contact with TLC
G0 Z0,35 F100</v>
      </c>
      <c r="M3" s="20" t="str">
        <f>IF(AND(calc3!J3=TRUE,I4&lt;&gt;"", modify!$K$3&gt;0),
        "; cleaning process"&amp;
         CHAR(10)&amp;
         calc2!$C$8 &amp;
          REPT(
               CHAR(10)&amp;
               calc2!$C$8, modify!$K$3-1),
      "")</f>
        <v>; cleaning process
G0 Z3,5 F500
G0 X191 Y212 F20000				; move to cleaning solution
G0 Z0,05 F500
G0 E-16,1745 F500					; retract
G0 Z3,5 F500
G0 X226 Y212 F20000				; move to waste bin
G0 Z2 F500
G0 E16,1745 F2500					; extrude cleaning solution
G4 P300						;pause</v>
      </c>
      <c r="N3" s="71" t="str">
        <f>IF(calc3!I3=TRUE,
      CHAR(10)&amp;
      "; Spot No."&amp;B3&amp;
      CHAR(10)&amp;
             IF(K3="", "", K3)&amp;                        REPLACE(N("rack"),1,1,"")&amp;CHAR(10)&amp;
             IF(calc2!$A$5="","",calc2!$A$5)&amp;        REPLACE(N("retraction"),1,1,"")&amp;CHAR(10)&amp;
             IF(L3="", "", L3)&amp;                           REPLACE(N("TLC"),1,1,"")&amp;CHAR(10)&amp;
             IF(calc2!$B$5="","",calc2!$B$5)&amp;         REPLACE(N("extrusion"),1,1,"")&amp;CHAR(10)&amp;
             IF(calc2!$C$5="","",calc2!$C$5)&amp;         REPLACE(N("waste"),1,1,"")&amp;CHAR(10)&amp;
             IF(M3="", "", M3)&amp;                          REPLACE(N("cleaning process"),1,1,""),
      "")</f>
        <v xml:space="preserve">
; Spot No.2
G0 Z3,5 F500
G0 X0 Y262,833333333333 F20000				; move to sample No. 2
G0 Z0,05 F500
; sampling
G0 E-10,783 F500					; extrusion in sample
G0 E5 F500						; partially retract in sample
G0 Z3,5 F500
G0 X293,727272727273 Y122 F20000				; move to spot No.2
G0 Z1,35 F500					; decrease z-velocity for contact with TLC
G0 Z0,35 F100
; spotting
G0 E0,0783 F25					; first extrusion per spot
G4 P300						; waiting time on spot after extrusion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 waste
G0 Z3,5 F500
G0 X226 Y212 F20000				; move to waste bin
G0 Z2 F500
G0 E5 F2500						; extrude rest of sample solution
G4 P300						; pause for 100ms
; cleaning process
G0 Z3,5 F500
G0 X191 Y212 F20000				; move to cleaning solution
G0 Z0,05 F500
G0 E-16,1745 F500					; retract
G0 Z3,5 F500
G0 X226 Y212 F20000				; move to waste bin
G0 Z2 F500
G0 E16,1745 F2500					; extrude cleaning solution
G4 P300						;pause</v>
      </c>
    </row>
    <row r="4" spans="1:15" ht="14.65" customHeight="1">
      <c r="A4" s="19">
        <v>3</v>
      </c>
      <c r="B4" s="69">
        <f>IF(calc3!I4=TRUE,
      COUNTIF(calc3!$I$2:I4,TRUE),
      "")</f>
        <v>3</v>
      </c>
      <c r="C4" s="44">
        <f>IF(calc3!I4=TRUE,ROUNDUP(calc3!A4/calc1!$N$3,0),"")</f>
        <v>1</v>
      </c>
      <c r="D4" s="69">
        <f>IF(calc3!I4=TRUE,MOD((calc3!A4-1),calc1!$N$3),"")</f>
        <v>2</v>
      </c>
      <c r="E4" s="23">
        <f>IF(AND(calc3!I4=TRUE,
                         C4&lt;=calc1!$O$3),
          IF(calc1!$O$3=1,
               calc1!#REF!,
      INT((calc3!A4-1)/calc1!$N$3)*calc1!$H$5+calc1!$P$3),
      "")</f>
        <v>0</v>
      </c>
      <c r="F4" s="69">
        <f>IF(AND(calc3!I4=TRUE,
                        C4&lt;=calc1!$O$3),
      IF(
            calc1!$N$3=1,
                  calc1!$Q$3,
            IF(modify!$B$3="s-shape, starting at back left corner",
                  IF(ISODD(C4),
                             calc1!Q$3+D4*calc1!$H$4,
                              calc1!$S$3-D4*calc1!$H$4),
           IF(modify!$B$3="s-shape, starting at front left corner",
                  IF(ISEVEN(C4),
                              calc1!$Q$3+D4*calc1!$H$4,
                              calc1!$S$3-D4*calc1!$H$4),
            IF(modify!$B$3="non alternating, starting at back left corner",
                  calc1!$Q$3+D4*calc1!$H$4,
            IF(modify!$B$3="non alternating, starting at front left corner",
                  calc1!$S$3-D4*calc1!$H$4,
      ""))))),"")</f>
        <v>230.66666666666669</v>
      </c>
      <c r="G4" s="23">
        <f>IF(calc3!I4=TRUE,
      IF(
            calc3!B4&lt;=calc1!$E$3,
                  calc1!$N$6-initialize!$Q$2/(calc1!$E$3+1)*calc3!B4,
            IF(calc3!B4&lt;=calc1!$E$3+calc1!$E$4,
                  calc1!$N$6-initialize!$Q$2/(calc1!$E$4+1)*(calc3!B4-calc1!$E$3)-calc1!$E$2-initialize!$Q$2,
           IF(calc3!B4&lt;=calc1!$H$3,
                  calc1!$N$6-initialize!$Q$2/(calc1!$E$5+1)*(calc3!B4-calc1!$E$3-calc1!$E$4)-(calc1!$E$2+initialize!$Q$2)*2,""))),"")</f>
        <v>290.09090909090907</v>
      </c>
      <c r="H4" s="69">
        <f>IF(AND(calc3!I4=TRUE,
                         ROUNDUP(calc3!A4/calc1!$N$3,0)&lt;=calc1!$O$3),
      calc1!$O$6-initialize!$Q$3,
      "")</f>
        <v>122</v>
      </c>
      <c r="I4" s="23" t="b">
        <f>IF(AND(calc3!A4&gt;0,
                         calc3!A4&lt;=calc1!$H$2),
      IF(MOD(calc3!A4-1,modify!$B$6)=0,
            TRUE,
            FALSE),
      "")</f>
        <v>1</v>
      </c>
      <c r="J4" s="69" t="b">
        <f>IF(I4=TRUE,
      IF(MOD(calc3!B4,modify!$K$2)=0,
            TRUE,
            FALSE),
      "")</f>
        <v>1</v>
      </c>
      <c r="K4" s="20" t="str">
        <f>IF(I4=TRUE,
   "G0"&amp;
      " Z"&amp;calc1!$U$3&amp;
      " F"&amp; initialize!$W$3&amp;
      CHAR(10)&amp;
    "G0"&amp;
      " X"&amp;E4&amp;
      " Y"&amp;F4&amp;
      " F"&amp; initialize!$W$2&amp;
       REPT(CHAR(9),4)&amp;
       "; move to sample No. "&amp;A4&amp;
      CHAR(10)&amp;
   "G0"&amp;
      " Z"&amp;calc1!$T$3&amp;
      " F"&amp;initialize!$W$3,
 "")</f>
        <v>G0 Z3,5 F500
G0 X0 Y230,666666666667 F20000				; move to sample No. 3
G0 Z0,05 F500</v>
      </c>
      <c r="L4" s="71" t="str">
        <f>IF(calc3!I4=TRUE,
   "G0 "&amp;
      "Z"&amp;calc1!$U$3 &amp;
      " F"&amp;initialize!$W$3&amp;
      CHAR(10)&amp;
   "G0"&amp;
      " X"&amp;calc3!G4&amp;
      " Y"&amp;H4&amp;
      " F"&amp;initialize!$W$2&amp;
       REPT(CHAR(9),4)&amp;
       "; move to spot No."&amp;B4&amp;
      CHAR(10)&amp;
   "G0"&amp;
      " Z"&amp;calc1!$P$6+initialize!$Q$4&amp;
      " F"&amp;initialize!$W$3&amp;
       REPT(CHAR(9),5)&amp;
       "; decrease z-velocity for contact with TLC"&amp;
      CHAR(10)&amp;
   "G0"&amp;
      " Z"&amp;calc1!$P$6&amp;
      " F"&amp;initialize!$W$4,
  "")</f>
        <v>G0 Z3,5 F500
G0 X290,090909090909 Y122 F20000				; move to spot No.3
G0 Z1,35 F500					; decrease z-velocity for contact with TLC
G0 Z0,35 F100</v>
      </c>
      <c r="M4" s="20" t="str">
        <f>IF(AND(calc3!J4=TRUE,I5&lt;&gt;"", modify!$K$3&gt;0),
        "; cleaning process"&amp;
         CHAR(10)&amp;
         calc2!$C$8 &amp;
          REPT(
               CHAR(10)&amp;
               calc2!$C$8, modify!$K$3-1),
      "")</f>
        <v>; cleaning process
G0 Z3,5 F500
G0 X191 Y212 F20000				; move to cleaning solution
G0 Z0,05 F500
G0 E-16,1745 F500					; retract
G0 Z3,5 F500
G0 X226 Y212 F20000				; move to waste bin
G0 Z2 F500
G0 E16,1745 F2500					; extrude cleaning solution
G4 P300						;pause</v>
      </c>
      <c r="N4" s="71" t="str">
        <f>IF(calc3!I4=TRUE,
      CHAR(10)&amp;
      "; Spot No."&amp;B4&amp;
      CHAR(10)&amp;
             IF(K4="", "", K4)&amp;                        REPLACE(N("rack"),1,1,"")&amp;CHAR(10)&amp;
             IF(calc2!$A$5="","",calc2!$A$5)&amp;        REPLACE(N("retraction"),1,1,"")&amp;CHAR(10)&amp;
             IF(L4="", "", L4)&amp;                           REPLACE(N("TLC"),1,1,"")&amp;CHAR(10)&amp;
             IF(calc2!$B$5="","",calc2!$B$5)&amp;         REPLACE(N("extrusion"),1,1,"")&amp;CHAR(10)&amp;
             IF(calc2!$C$5="","",calc2!$C$5)&amp;         REPLACE(N("waste"),1,1,"")&amp;CHAR(10)&amp;
             IF(M4="", "", M4)&amp;                          REPLACE(N("cleaning process"),1,1,""),
      "")</f>
        <v xml:space="preserve">
; Spot No.3
G0 Z3,5 F500
G0 X0 Y230,666666666667 F20000				; move to sample No. 3
G0 Z0,05 F500
; sampling
G0 E-10,783 F500					; extrusion in sample
G0 E5 F500						; partially retract in sample
G0 Z3,5 F500
G0 X290,090909090909 Y122 F20000				; move to spot No.3
G0 Z1,35 F500					; decrease z-velocity for contact with TLC
G0 Z0,35 F100
; spotting
G0 E0,0783 F25					; first extrusion per spot
G4 P300						; waiting time on spot after extrusion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 waste
G0 Z3,5 F500
G0 X226 Y212 F20000				; move to waste bin
G0 Z2 F500
G0 E5 F2500						; extrude rest of sample solution
G4 P300						; pause for 100ms
; cleaning process
G0 Z3,5 F500
G0 X191 Y212 F20000				; move to cleaning solution
G0 Z0,05 F500
G0 E-16,1745 F500					; retract
G0 Z3,5 F500
G0 X226 Y212 F20000				; move to waste bin
G0 Z2 F500
G0 E16,1745 F2500					; extrude cleaning solution
G4 P300						;pause</v>
      </c>
    </row>
    <row r="5" spans="1:15" ht="14.65" customHeight="1">
      <c r="A5" s="19">
        <v>4</v>
      </c>
      <c r="B5" s="69">
        <f>IF(calc3!I5=TRUE,
      COUNTIF(calc3!$I$2:I5,TRUE),
      "")</f>
        <v>4</v>
      </c>
      <c r="C5" s="44">
        <f>IF(calc3!I5=TRUE,ROUNDUP(calc3!A5/calc1!$N$3,0),"")</f>
        <v>1</v>
      </c>
      <c r="D5" s="69">
        <f>IF(calc3!I5=TRUE,MOD((calc3!A5-1),calc1!$N$3),"")</f>
        <v>3</v>
      </c>
      <c r="E5" s="23">
        <f>IF(AND(calc3!I5=TRUE,
                         C5&lt;=calc1!$O$3),
          IF(calc1!$O$3=1,
               calc1!#REF!,
      INT((calc3!A5-1)/calc1!$N$3)*calc1!$H$5+calc1!$P$3),
      "")</f>
        <v>0</v>
      </c>
      <c r="F5" s="69">
        <f>IF(AND(calc3!I5=TRUE,
                        C5&lt;=calc1!$O$3),
      IF(
            calc1!$N$3=1,
                  calc1!$Q$3,
            IF(modify!$B$3="s-shape, starting at back left corner",
                  IF(ISODD(C5),
                             calc1!Q$3+D5*calc1!$H$4,
                              calc1!$S$3-D5*calc1!$H$4),
           IF(modify!$B$3="s-shape, starting at front left corner",
                  IF(ISEVEN(C5),
                              calc1!$Q$3+D5*calc1!$H$4,
                              calc1!$S$3-D5*calc1!$H$4),
            IF(modify!$B$3="non alternating, starting at back left corner",
                  calc1!$Q$3+D5*calc1!$H$4,
            IF(modify!$B$3="non alternating, starting at front left corner",
                  calc1!$S$3-D5*calc1!$H$4,
      ""))))),"")</f>
        <v>198.5</v>
      </c>
      <c r="G5" s="23">
        <f>IF(calc3!I5=TRUE,
      IF(
            calc3!B5&lt;=calc1!$E$3,
                  calc1!$N$6-initialize!$Q$2/(calc1!$E$3+1)*calc3!B5,
            IF(calc3!B5&lt;=calc1!$E$3+calc1!$E$4,
                  calc1!$N$6-initialize!$Q$2/(calc1!$E$4+1)*(calc3!B5-calc1!$E$3)-calc1!$E$2-initialize!$Q$2,
           IF(calc3!B5&lt;=calc1!$H$3,
                  calc1!$N$6-initialize!$Q$2/(calc1!$E$5+1)*(calc3!B5-calc1!$E$3-calc1!$E$4)-(calc1!$E$2+initialize!$Q$2)*2,""))),"")</f>
        <v>286.45454545454544</v>
      </c>
      <c r="H5" s="69">
        <f>IF(AND(calc3!I5=TRUE,
                         ROUNDUP(calc3!A5/calc1!$N$3,0)&lt;=calc1!$O$3),
      calc1!$O$6-initialize!$Q$3,
      "")</f>
        <v>122</v>
      </c>
      <c r="I5" s="23" t="b">
        <f>IF(AND(calc3!A5&gt;0,
                         calc3!A5&lt;=calc1!$H$2),
      IF(MOD(calc3!A5-1,modify!$B$6)=0,
            TRUE,
            FALSE),
      "")</f>
        <v>1</v>
      </c>
      <c r="J5" s="69" t="b">
        <f>IF(I5=TRUE,
      IF(MOD(calc3!B5,modify!$K$2)=0,
            TRUE,
            FALSE),
      "")</f>
        <v>1</v>
      </c>
      <c r="K5" s="20" t="str">
        <f>IF(I5=TRUE,
   "G0"&amp;
      " Z"&amp;calc1!$U$3&amp;
      " F"&amp; initialize!$W$3&amp;
      CHAR(10)&amp;
    "G0"&amp;
      " X"&amp;E5&amp;
      " Y"&amp;F5&amp;
      " F"&amp; initialize!$W$2&amp;
       REPT(CHAR(9),4)&amp;
       "; move to sample No. "&amp;A5&amp;
      CHAR(10)&amp;
   "G0"&amp;
      " Z"&amp;calc1!$T$3&amp;
      " F"&amp;initialize!$W$3,
 "")</f>
        <v>G0 Z3,5 F500
G0 X0 Y198,5 F20000				; move to sample No. 4
G0 Z0,05 F500</v>
      </c>
      <c r="L5" s="71" t="str">
        <f>IF(calc3!I5=TRUE,
   "G0 "&amp;
      "Z"&amp;calc1!$U$3 &amp;
      " F"&amp;initialize!$W$3&amp;
      CHAR(10)&amp;
   "G0"&amp;
      " X"&amp;calc3!G5&amp;
      " Y"&amp;H5&amp;
      " F"&amp;initialize!$W$2&amp;
       REPT(CHAR(9),4)&amp;
       "; move to spot No."&amp;B5&amp;
      CHAR(10)&amp;
   "G0"&amp;
      " Z"&amp;calc1!$P$6+initialize!$Q$4&amp;
      " F"&amp;initialize!$W$3&amp;
       REPT(CHAR(9),5)&amp;
       "; decrease z-velocity for contact with TLC"&amp;
      CHAR(10)&amp;
   "G0"&amp;
      " Z"&amp;calc1!$P$6&amp;
      " F"&amp;initialize!$W$4,
  "")</f>
        <v>G0 Z3,5 F500
G0 X286,454545454545 Y122 F20000				; move to spot No.4
G0 Z1,35 F500					; decrease z-velocity for contact with TLC
G0 Z0,35 F100</v>
      </c>
      <c r="M5" s="20" t="str">
        <f>IF(AND(calc3!J5=TRUE,I6&lt;&gt;"", modify!$K$3&gt;0),
        "; cleaning process"&amp;
         CHAR(10)&amp;
         calc2!$C$8 &amp;
          REPT(
               CHAR(10)&amp;
               calc2!$C$8, modify!$K$3-1),
      "")</f>
        <v>; cleaning process
G0 Z3,5 F500
G0 X191 Y212 F20000				; move to cleaning solution
G0 Z0,05 F500
G0 E-16,1745 F500					; retract
G0 Z3,5 F500
G0 X226 Y212 F20000				; move to waste bin
G0 Z2 F500
G0 E16,1745 F2500					; extrude cleaning solution
G4 P300						;pause</v>
      </c>
      <c r="N5" s="71" t="str">
        <f>IF(calc3!I5=TRUE,
      CHAR(10)&amp;
      "; Spot No."&amp;B5&amp;
      CHAR(10)&amp;
             IF(K5="", "", K5)&amp;                        REPLACE(N("rack"),1,1,"")&amp;CHAR(10)&amp;
             IF(calc2!$A$5="","",calc2!$A$5)&amp;        REPLACE(N("retraction"),1,1,"")&amp;CHAR(10)&amp;
             IF(L5="", "", L5)&amp;                           REPLACE(N("TLC"),1,1,"")&amp;CHAR(10)&amp;
             IF(calc2!$B$5="","",calc2!$B$5)&amp;         REPLACE(N("extrusion"),1,1,"")&amp;CHAR(10)&amp;
             IF(calc2!$C$5="","",calc2!$C$5)&amp;         REPLACE(N("waste"),1,1,"")&amp;CHAR(10)&amp;
             IF(M5="", "", M5)&amp;                          REPLACE(N("cleaning process"),1,1,""),
      "")</f>
        <v xml:space="preserve">
; Spot No.4
G0 Z3,5 F500
G0 X0 Y198,5 F20000				; move to sample No. 4
G0 Z0,05 F500
; sampling
G0 E-10,783 F500					; extrusion in sample
G0 E5 F500						; partially retract in sample
G0 Z3,5 F500
G0 X286,454545454545 Y122 F20000				; move to spot No.4
G0 Z1,35 F500					; decrease z-velocity for contact with TLC
G0 Z0,35 F100
; spotting
G0 E0,0783 F25					; first extrusion per spot
G4 P300						; waiting time on spot after extrusion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 waste
G0 Z3,5 F500
G0 X226 Y212 F20000				; move to waste bin
G0 Z2 F500
G0 E5 F2500						; extrude rest of sample solution
G4 P300						; pause for 100ms
; cleaning process
G0 Z3,5 F500
G0 X191 Y212 F20000				; move to cleaning solution
G0 Z0,05 F500
G0 E-16,1745 F500					; retract
G0 Z3,5 F500
G0 X226 Y212 F20000				; move to waste bin
G0 Z2 F500
G0 E16,1745 F2500					; extrude cleaning solution
G4 P300						;pause</v>
      </c>
    </row>
    <row r="6" spans="1:15" ht="14.65" customHeight="1">
      <c r="A6" s="19">
        <v>5</v>
      </c>
      <c r="B6" s="69">
        <f>IF(calc3!I6=TRUE,
      COUNTIF(calc3!$I$2:I6,TRUE),
      "")</f>
        <v>5</v>
      </c>
      <c r="C6" s="44">
        <f>IF(calc3!I6=TRUE,ROUNDUP(calc3!A6/calc1!$N$3,0),"")</f>
        <v>1</v>
      </c>
      <c r="D6" s="69">
        <f>IF(calc3!I6=TRUE,MOD((calc3!A6-1),calc1!$N$3),"")</f>
        <v>4</v>
      </c>
      <c r="E6" s="23">
        <f>IF(AND(calc3!I6=TRUE,
                         C6&lt;=calc1!$O$3),
          IF(calc1!$O$3=1,
               calc1!P7,
      INT((calc3!A6-1)/calc1!$N$3)*calc1!$H$5+calc1!$P$3),
      "")</f>
        <v>0</v>
      </c>
      <c r="F6" s="69">
        <f>IF(AND(calc3!I6=TRUE,
                        C6&lt;=calc1!$O$3),
      IF(
            calc1!$N$3=1,
                  calc1!$Q$3,
            IF(modify!$B$3="s-shape, starting at back left corner",
                  IF(ISODD(C6),
                             calc1!Q$3+D6*calc1!$H$4,
                              calc1!$S$3-D6*calc1!$H$4),
           IF(modify!$B$3="s-shape, starting at front left corner",
                  IF(ISEVEN(C6),
                              calc1!$Q$3+D6*calc1!$H$4,
                              calc1!$S$3-D6*calc1!$H$4),
            IF(modify!$B$3="non alternating, starting at back left corner",
                  calc1!$Q$3+D6*calc1!$H$4,
            IF(modify!$B$3="non alternating, starting at front left corner",
                  calc1!$S$3-D6*calc1!$H$4,
      ""))))),"")</f>
        <v>166.33333333333334</v>
      </c>
      <c r="G6" s="23">
        <f>IF(calc3!I6=TRUE,
      IF(
            calc3!B6&lt;=calc1!$E$3,
                  calc1!$N$6-initialize!$Q$2/(calc1!$E$3+1)*calc3!B6,
            IF(calc3!B6&lt;=calc1!$E$3+calc1!$E$4,
                  calc1!$N$6-initialize!$Q$2/(calc1!$E$4+1)*(calc3!B6-calc1!$E$3)-calc1!$E$2-initialize!$Q$2,
           IF(calc3!B6&lt;=calc1!$H$3,
                  calc1!$N$6-initialize!$Q$2/(calc1!$E$5+1)*(calc3!B6-calc1!$E$3-calc1!$E$4)-(calc1!$E$2+initialize!$Q$2)*2,""))),"")</f>
        <v>282.81818181818181</v>
      </c>
      <c r="H6" s="69">
        <f>IF(AND(calc3!I6=TRUE,
                         ROUNDUP(calc3!A6/calc1!$N$3,0)&lt;=calc1!$O$3),
      calc1!$O$6-initialize!$Q$3,
      "")</f>
        <v>122</v>
      </c>
      <c r="I6" s="23" t="b">
        <f>IF(AND(calc3!A6&gt;0,
                         calc3!A6&lt;=calc1!$H$2),
      IF(MOD(calc3!A6-1,modify!$B$6)=0,
            TRUE,
            FALSE),
      "")</f>
        <v>1</v>
      </c>
      <c r="J6" s="69" t="b">
        <f>IF(I6=TRUE,
      IF(MOD(calc3!B6,modify!$K$2)=0,
            TRUE,
            FALSE),
      "")</f>
        <v>1</v>
      </c>
      <c r="K6" s="20" t="str">
        <f>IF(I6=TRUE,
   "G0"&amp;
      " Z"&amp;calc1!$U$3&amp;
      " F"&amp; initialize!$W$3&amp;
      CHAR(10)&amp;
    "G0"&amp;
      " X"&amp;E6&amp;
      " Y"&amp;F6&amp;
      " F"&amp; initialize!$W$2&amp;
       REPT(CHAR(9),4)&amp;
       "; move to sample No. "&amp;A6&amp;
      CHAR(10)&amp;
   "G0"&amp;
      " Z"&amp;calc1!$T$3&amp;
      " F"&amp;initialize!$W$3,
 "")</f>
        <v>G0 Z3,5 F500
G0 X0 Y166,333333333333 F20000				; move to sample No. 5
G0 Z0,05 F500</v>
      </c>
      <c r="L6" s="71" t="str">
        <f>IF(calc3!I6=TRUE,
   "G0 "&amp;
      "Z"&amp;calc1!$U$3 &amp;
      " F"&amp;initialize!$W$3&amp;
      CHAR(10)&amp;
   "G0"&amp;
      " X"&amp;calc3!G6&amp;
      " Y"&amp;H6&amp;
      " F"&amp;initialize!$W$2&amp;
       REPT(CHAR(9),4)&amp;
       "; move to spot No."&amp;B6&amp;
      CHAR(10)&amp;
   "G0"&amp;
      " Z"&amp;calc1!$P$6+initialize!$Q$4&amp;
      " F"&amp;initialize!$W$3&amp;
       REPT(CHAR(9),5)&amp;
       "; decrease z-velocity for contact with TLC"&amp;
      CHAR(10)&amp;
   "G0"&amp;
      " Z"&amp;calc1!$P$6&amp;
      " F"&amp;initialize!$W$4,
  "")</f>
        <v>G0 Z3,5 F500
G0 X282,818181818182 Y122 F20000				; move to spot No.5
G0 Z1,35 F500					; decrease z-velocity for contact with TLC
G0 Z0,35 F100</v>
      </c>
      <c r="M6" s="20" t="str">
        <f>IF(AND(calc3!J6=TRUE,I7&lt;&gt;"", modify!$K$3&gt;0),
        "; cleaning process"&amp;
         CHAR(10)&amp;
         calc2!$C$8 &amp;
          REPT(
               CHAR(10)&amp;
               calc2!$C$8, modify!$K$3-1),
      "")</f>
        <v>; cleaning process
G0 Z3,5 F500
G0 X191 Y212 F20000				; move to cleaning solution
G0 Z0,05 F500
G0 E-16,1745 F500					; retract
G0 Z3,5 F500
G0 X226 Y212 F20000				; move to waste bin
G0 Z2 F500
G0 E16,1745 F2500					; extrude cleaning solution
G4 P300						;pause</v>
      </c>
      <c r="N6" s="71" t="str">
        <f>IF(calc3!I6=TRUE,
      CHAR(10)&amp;
      "; Spot No."&amp;B6&amp;
      CHAR(10)&amp;
             IF(K6="", "", K6)&amp;                        REPLACE(N("rack"),1,1,"")&amp;CHAR(10)&amp;
             IF(calc2!$A$5="","",calc2!$A$5)&amp;        REPLACE(N("retraction"),1,1,"")&amp;CHAR(10)&amp;
             IF(L6="", "", L6)&amp;                           REPLACE(N("TLC"),1,1,"")&amp;CHAR(10)&amp;
             IF(calc2!$B$5="","",calc2!$B$5)&amp;         REPLACE(N("extrusion"),1,1,"")&amp;CHAR(10)&amp;
             IF(calc2!$C$5="","",calc2!$C$5)&amp;         REPLACE(N("waste"),1,1,"")&amp;CHAR(10)&amp;
             IF(M6="", "", M6)&amp;                          REPLACE(N("cleaning process"),1,1,""),
      "")</f>
        <v xml:space="preserve">
; Spot No.5
G0 Z3,5 F500
G0 X0 Y166,333333333333 F20000				; move to sample No. 5
G0 Z0,05 F500
; sampling
G0 E-10,783 F500					; extrusion in sample
G0 E5 F500						; partially retract in sample
G0 Z3,5 F500
G0 X282,818181818182 Y122 F20000				; move to spot No.5
G0 Z1,35 F500					; decrease z-velocity for contact with TLC
G0 Z0,35 F100
; spotting
G0 E0,0783 F25					; first extrusion per spot
G4 P300						; waiting time on spot after extrusion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 waste
G0 Z3,5 F500
G0 X226 Y212 F20000				; move to waste bin
G0 Z2 F500
G0 E5 F2500						; extrude rest of sample solution
G4 P300						; pause for 100ms
; cleaning process
G0 Z3,5 F500
G0 X191 Y212 F20000				; move to cleaning solution
G0 Z0,05 F500
G0 E-16,1745 F500					; retract
G0 Z3,5 F500
G0 X226 Y212 F20000				; move to waste bin
G0 Z2 F500
G0 E16,1745 F2500					; extrude cleaning solution
G4 P300						;pause</v>
      </c>
    </row>
    <row r="7" spans="1:15" ht="14.65" customHeight="1">
      <c r="A7" s="19">
        <v>6</v>
      </c>
      <c r="B7" s="69">
        <f>IF(calc3!I7=TRUE,
      COUNTIF(calc3!$I$2:I7,TRUE),
      "")</f>
        <v>6</v>
      </c>
      <c r="C7" s="44">
        <f>IF(calc3!I7=TRUE,ROUNDUP(calc3!A7/calc1!$N$3,0),"")</f>
        <v>1</v>
      </c>
      <c r="D7" s="69">
        <f>IF(calc3!I7=TRUE,MOD((calc3!A7-1),calc1!$N$3),"")</f>
        <v>5</v>
      </c>
      <c r="E7" s="23">
        <f>IF(AND(calc3!I7=TRUE,
                         C7&lt;=calc1!$O$3),
      INT((calc3!A7-1)/calc1!$N$3)*calc1!$H$5+calc1!$P$3,
      "")</f>
        <v>0</v>
      </c>
      <c r="F7" s="69">
        <f>IF(AND(calc3!I7=TRUE,
                        C7&lt;=calc1!$O$3),
      IF(
            calc1!$N$3=1,
                  calc1!$Q$3,
            IF(modify!$B$3="s-shape, starting at back left corner",
                  IF(ISODD(C7),
                             calc1!Q$3+D7*calc1!$H$4,
                              calc1!$S$3-D7*calc1!$H$4),
           IF(modify!$B$3="s-shape, starting at front left corner",
                  IF(ISEVEN(C7),
                              calc1!$Q$3+D7*calc1!$H$4,
                              calc1!$S$3-D7*calc1!$H$4),
            IF(modify!$B$3="non alternating, starting at back left corner",
                  calc1!$Q$3+D7*calc1!$H$4,
            IF(modify!$B$3="non alternating, starting at front left corner",
                  calc1!$S$3-D7*calc1!$H$4,
      ""))))),"")</f>
        <v>134.16666666666669</v>
      </c>
      <c r="G7" s="23">
        <f>IF(calc3!I7=TRUE,
      IF(
            calc3!B7&lt;=calc1!$E$3,
                  calc1!$N$6-initialize!$Q$2/(calc1!$E$3+1)*calc3!B7,
            IF(calc3!B7&lt;=calc1!$E$3+calc1!$E$4,
                  calc1!$N$6-initialize!$Q$2/(calc1!$E$4+1)*(calc3!B7-calc1!$E$3)-calc1!$E$2-initialize!$Q$2,
           IF(calc3!B7&lt;=calc1!$H$3,
                  calc1!$N$6-initialize!$Q$2/(calc1!$E$5+1)*(calc3!B7-calc1!$E$3-calc1!$E$4)-(calc1!$E$2+initialize!$Q$2)*2,""))),"")</f>
        <v>279.18181818181819</v>
      </c>
      <c r="H7" s="69">
        <f>IF(AND(calc3!I7=TRUE,
                         ROUNDUP(calc3!A7/calc1!$N$3,0)&lt;=calc1!$O$3),
      calc1!$O$6-initialize!$Q$3,
      "")</f>
        <v>122</v>
      </c>
      <c r="I7" s="23" t="b">
        <f>IF(AND(calc3!A7&gt;0,
                         calc3!A7&lt;=calc1!$H$2),
      IF(MOD(calc3!A7-1,modify!$B$6)=0,
            TRUE,
            FALSE),
      "")</f>
        <v>1</v>
      </c>
      <c r="J7" s="69" t="b">
        <f>IF(I7=TRUE,
      IF(MOD(calc3!B7,modify!$K$2)=0,
            TRUE,
            FALSE),
      "")</f>
        <v>1</v>
      </c>
      <c r="K7" s="20" t="str">
        <f>IF(I7=TRUE,
   "G0"&amp;
      " Z"&amp;calc1!$U$3&amp;
      " F"&amp; initialize!$W$3&amp;
      CHAR(10)&amp;
    "G0"&amp;
      " X"&amp;E7&amp;
      " Y"&amp;F7&amp;
      " F"&amp; initialize!$W$2&amp;
       REPT(CHAR(9),4)&amp;
       "; move to sample No. "&amp;A7&amp;
      CHAR(10)&amp;
   "G0"&amp;
      " Z"&amp;calc1!$T$3&amp;
      " F"&amp;initialize!$W$3,
 "")</f>
        <v>G0 Z3,5 F500
G0 X0 Y134,166666666667 F20000				; move to sample No. 6
G0 Z0,05 F500</v>
      </c>
      <c r="L7" s="71" t="str">
        <f>IF(calc3!I7=TRUE,
   "G0 "&amp;
      "Z"&amp;calc1!$U$3 &amp;
      " F"&amp;initialize!$W$3&amp;
      CHAR(10)&amp;
   "G0"&amp;
      " X"&amp;calc3!G7&amp;
      " Y"&amp;H7&amp;
      " F"&amp;initialize!$W$2&amp;
       REPT(CHAR(9),4)&amp;
       "; move to spot No."&amp;B7&amp;
      CHAR(10)&amp;
   "G0"&amp;
      " Z"&amp;calc1!$P$6+initialize!$Q$4&amp;
      " F"&amp;initialize!$W$3&amp;
       REPT(CHAR(9),5)&amp;
       "; decrease z-velocity for contact with TLC"&amp;
      CHAR(10)&amp;
   "G0"&amp;
      " Z"&amp;calc1!$P$6&amp;
      " F"&amp;initialize!$W$4,
  "")</f>
        <v>G0 Z3,5 F500
G0 X279,181818181818 Y122 F20000				; move to spot No.6
G0 Z1,35 F500					; decrease z-velocity for contact with TLC
G0 Z0,35 F100</v>
      </c>
      <c r="M7" s="20" t="str">
        <f>IF(AND(calc3!J7=TRUE,I8&lt;&gt;"", modify!$K$3&gt;0),
        "; cleaning process"&amp;
         CHAR(10)&amp;
         calc2!$C$8 &amp;
          REPT(
               CHAR(10)&amp;
               calc2!$C$8, modify!$K$3-1),
      "")</f>
        <v>; cleaning process
G0 Z3,5 F500
G0 X191 Y212 F20000				; move to cleaning solution
G0 Z0,05 F500
G0 E-16,1745 F500					; retract
G0 Z3,5 F500
G0 X226 Y212 F20000				; move to waste bin
G0 Z2 F500
G0 E16,1745 F2500					; extrude cleaning solution
G4 P300						;pause</v>
      </c>
      <c r="N7" s="71" t="str">
        <f>IF(calc3!I7=TRUE,
      CHAR(10)&amp;
      "; Spot No."&amp;B7&amp;
      CHAR(10)&amp;
             IF(K7="", "", K7)&amp;                        REPLACE(N("rack"),1,1,"")&amp;CHAR(10)&amp;
             IF(calc2!$A$5="","",calc2!$A$5)&amp;        REPLACE(N("retraction"),1,1,"")&amp;CHAR(10)&amp;
             IF(L7="", "", L7)&amp;                           REPLACE(N("TLC"),1,1,"")&amp;CHAR(10)&amp;
             IF(calc2!$B$5="","",calc2!$B$5)&amp;         REPLACE(N("extrusion"),1,1,"")&amp;CHAR(10)&amp;
             IF(calc2!$C$5="","",calc2!$C$5)&amp;         REPLACE(N("waste"),1,1,"")&amp;CHAR(10)&amp;
             IF(M7="", "", M7)&amp;                          REPLACE(N("cleaning process"),1,1,""),
      "")</f>
        <v xml:space="preserve">
; Spot No.6
G0 Z3,5 F500
G0 X0 Y134,166666666667 F20000				; move to sample No. 6
G0 Z0,05 F500
; sampling
G0 E-10,783 F500					; extrusion in sample
G0 E5 F500						; partially retract in sample
G0 Z3,5 F500
G0 X279,181818181818 Y122 F20000				; move to spot No.6
G0 Z1,35 F500					; decrease z-velocity for contact with TLC
G0 Z0,35 F100
; spotting
G0 E0,0783 F25					; first extrusion per spot
G4 P300						; waiting time on spot after extrusion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 waste
G0 Z3,5 F500
G0 X226 Y212 F20000				; move to waste bin
G0 Z2 F500
G0 E5 F2500						; extrude rest of sample solution
G4 P300						; pause for 100ms
; cleaning process
G0 Z3,5 F500
G0 X191 Y212 F20000				; move to cleaning solution
G0 Z0,05 F500
G0 E-16,1745 F500					; retract
G0 Z3,5 F500
G0 X226 Y212 F20000				; move to waste bin
G0 Z2 F500
G0 E16,1745 F2500					; extrude cleaning solution
G4 P300						;pause</v>
      </c>
    </row>
    <row r="8" spans="1:15" ht="14.65" customHeight="1">
      <c r="A8" s="19">
        <v>7</v>
      </c>
      <c r="B8" s="69">
        <f>IF(calc3!I8=TRUE,
      COUNTIF(calc3!$I$2:I8,TRUE),
      "")</f>
        <v>7</v>
      </c>
      <c r="C8" s="44">
        <f>IF(calc3!I8=TRUE,ROUNDUP(calc3!A8/calc1!$N$3,0),"")</f>
        <v>1</v>
      </c>
      <c r="D8" s="69">
        <f>IF(calc3!I8=TRUE,MOD((calc3!A8-1),calc1!$N$3),"")</f>
        <v>6</v>
      </c>
      <c r="E8" s="23">
        <f>IF(AND(calc3!I8=TRUE,
                         C8&lt;=calc1!$O$3),
      INT((calc3!A8-1)/calc1!$N$3)*calc1!$H$5+calc1!$P$3,
      "")</f>
        <v>0</v>
      </c>
      <c r="F8" s="69">
        <f>IF(AND(calc3!I8=TRUE,
                        C8&lt;=calc1!$O$3),
      IF(
            calc1!$N$3=1,
                  calc1!$Q$3,
            IF(modify!$B$3="s-shape, starting at back left corner",
                  IF(ISODD(C8),
                             calc1!Q$3+D8*calc1!$H$4,
                              calc1!$S$3-D8*calc1!$H$4),
           IF(modify!$B$3="s-shape, starting at front left corner",
                  IF(ISEVEN(C8),
                              calc1!$Q$3+D8*calc1!$H$4,
                              calc1!$S$3-D8*calc1!$H$4),
            IF(modify!$B$3="non alternating, starting at back left corner",
                  calc1!$Q$3+D8*calc1!$H$4,
            IF(modify!$B$3="non alternating, starting at front left corner",
                  calc1!$S$3-D8*calc1!$H$4,
      ""))))),"")</f>
        <v>102</v>
      </c>
      <c r="G8" s="23">
        <f>IF(calc3!I8=TRUE,
      IF(
            calc3!B8&lt;=calc1!$E$3,
                  calc1!$N$6-initialize!$Q$2/(calc1!$E$3+1)*calc3!B8,
            IF(calc3!B8&lt;=calc1!$E$3+calc1!$E$4,
                  calc1!$N$6-initialize!$Q$2/(calc1!$E$4+1)*(calc3!B8-calc1!$E$3)-calc1!$E$2-initialize!$Q$2,
           IF(calc3!B8&lt;=calc1!$H$3,
                  calc1!$N$6-initialize!$Q$2/(calc1!$E$5+1)*(calc3!B8-calc1!$E$3-calc1!$E$4)-(calc1!$E$2+initialize!$Q$2)*2,""))),"")</f>
        <v>275.54545454545456</v>
      </c>
      <c r="H8" s="69">
        <f>IF(AND(calc3!I8=TRUE,
                         ROUNDUP(calc3!A8/calc1!$N$3,0)&lt;=calc1!$O$3),
      calc1!$O$6-initialize!$Q$3,
      "")</f>
        <v>122</v>
      </c>
      <c r="I8" s="23" t="b">
        <f>IF(AND(calc3!A8&gt;0,
                         calc3!A8&lt;=calc1!$H$2),
      IF(MOD(calc3!A8-1,modify!$B$6)=0,
            TRUE,
            FALSE),
      "")</f>
        <v>1</v>
      </c>
      <c r="J8" s="69" t="b">
        <f>IF(I8=TRUE,
      IF(MOD(calc3!B8,modify!$K$2)=0,
            TRUE,
            FALSE),
      "")</f>
        <v>1</v>
      </c>
      <c r="K8" s="20" t="str">
        <f>IF(I8=TRUE,
   "G0"&amp;
      " Z"&amp;calc1!$U$3&amp;
      " F"&amp; initialize!$W$3&amp;
      CHAR(10)&amp;
    "G0"&amp;
      " X"&amp;E8&amp;
      " Y"&amp;F8&amp;
      " F"&amp; initialize!$W$2&amp;
       REPT(CHAR(9),4)&amp;
       "; move to sample No. "&amp;A8&amp;
      CHAR(10)&amp;
   "G0"&amp;
      " Z"&amp;calc1!$T$3&amp;
      " F"&amp;initialize!$W$3,
 "")</f>
        <v>G0 Z3,5 F500
G0 X0 Y102 F20000				; move to sample No. 7
G0 Z0,05 F500</v>
      </c>
      <c r="L8" s="71" t="str">
        <f>IF(calc3!I8=TRUE,
   "G0 "&amp;
      "Z"&amp;calc1!$U$3 &amp;
      " F"&amp;initialize!$W$3&amp;
      CHAR(10)&amp;
   "G0"&amp;
      " X"&amp;calc3!G8&amp;
      " Y"&amp;H8&amp;
      " F"&amp;initialize!$W$2&amp;
       REPT(CHAR(9),4)&amp;
       "; move to spot No."&amp;B8&amp;
      CHAR(10)&amp;
   "G0"&amp;
      " Z"&amp;calc1!$P$6+initialize!$Q$4&amp;
      " F"&amp;initialize!$W$3&amp;
       REPT(CHAR(9),5)&amp;
       "; decrease z-velocity for contact with TLC"&amp;
      CHAR(10)&amp;
   "G0"&amp;
      " Z"&amp;calc1!$P$6&amp;
      " F"&amp;initialize!$W$4,
  "")</f>
        <v>G0 Z3,5 F500
G0 X275,545454545455 Y122 F20000				; move to spot No.7
G0 Z1,35 F500					; decrease z-velocity for contact with TLC
G0 Z0,35 F100</v>
      </c>
      <c r="M8" s="20" t="str">
        <f>IF(AND(calc3!J8=TRUE,I9&lt;&gt;"", modify!$K$3&gt;0),
        "; cleaning process"&amp;
         CHAR(10)&amp;
         calc2!$C$8 &amp;
          REPT(
               CHAR(10)&amp;
               calc2!$C$8, modify!$K$3-1),
      "")</f>
        <v>; cleaning process
G0 Z3,5 F500
G0 X191 Y212 F20000				; move to cleaning solution
G0 Z0,05 F500
G0 E-16,1745 F500					; retract
G0 Z3,5 F500
G0 X226 Y212 F20000				; move to waste bin
G0 Z2 F500
G0 E16,1745 F2500					; extrude cleaning solution
G4 P300						;pause</v>
      </c>
      <c r="N8" s="71" t="str">
        <f>IF(calc3!I8=TRUE,
      CHAR(10)&amp;
      "; Spot No."&amp;B8&amp;
      CHAR(10)&amp;
             IF(K8="", "", K8)&amp;                        REPLACE(N("rack"),1,1,"")&amp;CHAR(10)&amp;
             IF(calc2!$A$5="","",calc2!$A$5)&amp;        REPLACE(N("retraction"),1,1,"")&amp;CHAR(10)&amp;
             IF(L8="", "", L8)&amp;                           REPLACE(N("TLC"),1,1,"")&amp;CHAR(10)&amp;
             IF(calc2!$B$5="","",calc2!$B$5)&amp;         REPLACE(N("extrusion"),1,1,"")&amp;CHAR(10)&amp;
             IF(calc2!$C$5="","",calc2!$C$5)&amp;         REPLACE(N("waste"),1,1,"")&amp;CHAR(10)&amp;
             IF(M8="", "", M8)&amp;                          REPLACE(N("cleaning process"),1,1,""),
      "")</f>
        <v xml:space="preserve">
; Spot No.7
G0 Z3,5 F500
G0 X0 Y102 F20000				; move to sample No. 7
G0 Z0,05 F500
; sampling
G0 E-10,783 F500					; extrusion in sample
G0 E5 F500						; partially retract in sample
G0 Z3,5 F500
G0 X275,545454545455 Y122 F20000				; move to spot No.7
G0 Z1,35 F500					; decrease z-velocity for contact with TLC
G0 Z0,35 F100
; spotting
G0 E0,0783 F25					; first extrusion per spot
G4 P300						; waiting time on spot after extrusion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 waste
G0 Z3,5 F500
G0 X226 Y212 F20000				; move to waste bin
G0 Z2 F500
G0 E5 F2500						; extrude rest of sample solution
G4 P300						; pause for 100ms
; cleaning process
G0 Z3,5 F500
G0 X191 Y212 F20000				; move to cleaning solution
G0 Z0,05 F500
G0 E-16,1745 F500					; retract
G0 Z3,5 F500
G0 X226 Y212 F20000				; move to waste bin
G0 Z2 F500
G0 E16,1745 F2500					; extrude cleaning solution
G4 P300						;pause</v>
      </c>
    </row>
    <row r="9" spans="1:15" ht="14.65" customHeight="1">
      <c r="A9" s="19">
        <v>8</v>
      </c>
      <c r="B9" s="69">
        <f>IF(calc3!I9=TRUE,
      COUNTIF(calc3!$I$2:I9,TRUE),
      "")</f>
        <v>8</v>
      </c>
      <c r="C9" s="44">
        <f>IF(calc3!I9=TRUE,ROUNDUP(calc3!A9/calc1!$N$3,0),"")</f>
        <v>2</v>
      </c>
      <c r="D9" s="69">
        <f>IF(calc3!I9=TRUE,MOD((calc3!A9-1),calc1!$N$3),"")</f>
        <v>0</v>
      </c>
      <c r="E9" s="23">
        <f>IF(AND(calc3!I9=TRUE,
                         C9&lt;=calc1!$O$3),
      INT((calc3!A9-1)/calc1!$N$3)*calc1!$H$5+calc1!$P$3,
      "")</f>
        <v>40.5</v>
      </c>
      <c r="F9" s="69">
        <f>IF(AND(calc3!I9=TRUE,
                        C9&lt;=calc1!$O$3),
      IF(
            calc1!$N$3=1,
                  calc1!$Q$3,
            IF(modify!$B$3="s-shape, starting at back left corner",
                  IF(ISODD(C9),
                             calc1!Q$3+D9*calc1!$H$4,
                              calc1!$S$3-D9*calc1!$H$4),
           IF(modify!$B$3="s-shape, starting at front left corner",
                  IF(ISEVEN(C9),
                              calc1!$Q$3+D9*calc1!$H$4,
                              calc1!$S$3-D9*calc1!$H$4),
            IF(modify!$B$3="non alternating, starting at back left corner",
                  calc1!$Q$3+D9*calc1!$H$4,
            IF(modify!$B$3="non alternating, starting at front left corner",
                  calc1!$S$3-D9*calc1!$H$4,
      ""))))),"")</f>
        <v>102</v>
      </c>
      <c r="G9" s="23">
        <f>IF(calc3!I9=TRUE,
      IF(
            calc3!B9&lt;=calc1!$E$3,
                  calc1!$N$6-initialize!$Q$2/(calc1!$E$3+1)*calc3!B9,
            IF(calc3!B9&lt;=calc1!$E$3+calc1!$E$4,
                  calc1!$N$6-initialize!$Q$2/(calc1!$E$4+1)*(calc3!B9-calc1!$E$3)-calc1!$E$2-initialize!$Q$2,
           IF(calc3!B9&lt;=calc1!$H$3,
                  calc1!$N$6-initialize!$Q$2/(calc1!$E$5+1)*(calc3!B9-calc1!$E$3-calc1!$E$4)-(calc1!$E$2+initialize!$Q$2)*2,""))),"")</f>
        <v>271.90909090909093</v>
      </c>
      <c r="H9" s="69">
        <f>IF(AND(calc3!I9=TRUE,
                         ROUNDUP(calc3!A9/calc1!$N$3,0)&lt;=calc1!$O$3),
      calc1!$O$6-initialize!$Q$3,
      "")</f>
        <v>122</v>
      </c>
      <c r="I9" s="23" t="b">
        <f>IF(AND(calc3!A9&gt;0,
                         calc3!A9&lt;=calc1!$H$2),
      IF(MOD(calc3!A9-1,modify!$B$6)=0,
            TRUE,
            FALSE),
      "")</f>
        <v>1</v>
      </c>
      <c r="J9" s="69" t="b">
        <f>IF(I9=TRUE,
      IF(MOD(calc3!B9,modify!$K$2)=0,
            TRUE,
            FALSE),
      "")</f>
        <v>1</v>
      </c>
      <c r="K9" s="20" t="str">
        <f>IF(I9=TRUE,
   "G0"&amp;
      " Z"&amp;calc1!$U$3&amp;
      " F"&amp; initialize!$W$3&amp;
      CHAR(10)&amp;
    "G0"&amp;
      " X"&amp;E9&amp;
      " Y"&amp;F9&amp;
      " F"&amp; initialize!$W$2&amp;
       REPT(CHAR(9),4)&amp;
       "; move to sample No. "&amp;A9&amp;
      CHAR(10)&amp;
   "G0"&amp;
      " Z"&amp;calc1!$T$3&amp;
      " F"&amp;initialize!$W$3,
 "")</f>
        <v>G0 Z3,5 F500
G0 X40,5 Y102 F20000				; move to sample No. 8
G0 Z0,05 F500</v>
      </c>
      <c r="L9" s="71" t="str">
        <f>IF(calc3!I9=TRUE,
   "G0 "&amp;
      "Z"&amp;calc1!$U$3 &amp;
      " F"&amp;initialize!$W$3&amp;
      CHAR(10)&amp;
   "G0"&amp;
      " X"&amp;calc3!G9&amp;
      " Y"&amp;H9&amp;
      " F"&amp;initialize!$W$2&amp;
       REPT(CHAR(9),4)&amp;
       "; move to spot No."&amp;B9&amp;
      CHAR(10)&amp;
   "G0"&amp;
      " Z"&amp;calc1!$P$6+initialize!$Q$4&amp;
      " F"&amp;initialize!$W$3&amp;
       REPT(CHAR(9),5)&amp;
       "; decrease z-velocity for contact with TLC"&amp;
      CHAR(10)&amp;
   "G0"&amp;
      " Z"&amp;calc1!$P$6&amp;
      " F"&amp;initialize!$W$4,
  "")</f>
        <v>G0 Z3,5 F500
G0 X271,909090909091 Y122 F20000				; move to spot No.8
G0 Z1,35 F500					; decrease z-velocity for contact with TLC
G0 Z0,35 F100</v>
      </c>
      <c r="M9" s="20" t="str">
        <f>IF(AND(calc3!J9=TRUE,I10&lt;&gt;"", modify!$K$3&gt;0),
        "; cleaning process"&amp;
         CHAR(10)&amp;
         calc2!$C$8 &amp;
          REPT(
               CHAR(10)&amp;
               calc2!$C$8, modify!$K$3-1),
      "")</f>
        <v>; cleaning process
G0 Z3,5 F500
G0 X191 Y212 F20000				; move to cleaning solution
G0 Z0,05 F500
G0 E-16,1745 F500					; retract
G0 Z3,5 F500
G0 X226 Y212 F20000				; move to waste bin
G0 Z2 F500
G0 E16,1745 F2500					; extrude cleaning solution
G4 P300						;pause</v>
      </c>
      <c r="N9" s="71" t="str">
        <f>IF(calc3!I9=TRUE,
      CHAR(10)&amp;
      "; Spot No."&amp;B9&amp;
      CHAR(10)&amp;
             IF(K9="", "", K9)&amp;                        REPLACE(N("rack"),1,1,"")&amp;CHAR(10)&amp;
             IF(calc2!$A$5="","",calc2!$A$5)&amp;        REPLACE(N("retraction"),1,1,"")&amp;CHAR(10)&amp;
             IF(L9="", "", L9)&amp;                           REPLACE(N("TLC"),1,1,"")&amp;CHAR(10)&amp;
             IF(calc2!$B$5="","",calc2!$B$5)&amp;         REPLACE(N("extrusion"),1,1,"")&amp;CHAR(10)&amp;
             IF(calc2!$C$5="","",calc2!$C$5)&amp;         REPLACE(N("waste"),1,1,"")&amp;CHAR(10)&amp;
             IF(M9="", "", M9)&amp;                          REPLACE(N("cleaning process"),1,1,""),
      "")</f>
        <v xml:space="preserve">
; Spot No.8
G0 Z3,5 F500
G0 X40,5 Y102 F20000				; move to sample No. 8
G0 Z0,05 F500
; sampling
G0 E-10,783 F500					; extrusion in sample
G0 E5 F500						; partially retract in sample
G0 Z3,5 F500
G0 X271,909090909091 Y122 F20000				; move to spot No.8
G0 Z1,35 F500					; decrease z-velocity for contact with TLC
G0 Z0,35 F100
; spotting
G0 E0,0783 F25					; first extrusion per spot
G4 P300						; waiting time on spot after extrusion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 waste
G0 Z3,5 F500
G0 X226 Y212 F20000				; move to waste bin
G0 Z2 F500
G0 E5 F2500						; extrude rest of sample solution
G4 P300						; pause for 100ms
; cleaning process
G0 Z3,5 F500
G0 X191 Y212 F20000				; move to cleaning solution
G0 Z0,05 F500
G0 E-16,1745 F500					; retract
G0 Z3,5 F500
G0 X226 Y212 F20000				; move to waste bin
G0 Z2 F500
G0 E16,1745 F2500					; extrude cleaning solution
G4 P300						;pause</v>
      </c>
    </row>
    <row r="10" spans="1:15" ht="14.65" customHeight="1">
      <c r="A10" s="19">
        <v>9</v>
      </c>
      <c r="B10" s="69">
        <f>IF(calc3!I10=TRUE,
      COUNTIF(calc3!$I$2:I10,TRUE),
      "")</f>
        <v>9</v>
      </c>
      <c r="C10" s="44">
        <f>IF(calc3!I10=TRUE,ROUNDUP(calc3!A10/calc1!$N$3,0),"")</f>
        <v>2</v>
      </c>
      <c r="D10" s="69">
        <f>IF(calc3!I10=TRUE,MOD((calc3!A10-1),calc1!$N$3),"")</f>
        <v>1</v>
      </c>
      <c r="E10" s="23">
        <f>IF(AND(calc3!I10=TRUE,
                         C10&lt;=calc1!$O$3),
      INT((calc3!A10-1)/calc1!$N$3)*calc1!$H$5+calc1!$P$3,
      "")</f>
        <v>40.5</v>
      </c>
      <c r="F10" s="69">
        <f>IF(AND(calc3!I10=TRUE,
                        C10&lt;=calc1!$O$3),
      IF(
            calc1!$N$3=1,
                  calc1!$Q$3,
            IF(modify!$B$3="s-shape, starting at back left corner",
                  IF(ISODD(C10),
                             calc1!Q$3+D10*calc1!$H$4,
                              calc1!$S$3-D10*calc1!$H$4),
           IF(modify!$B$3="s-shape, starting at front left corner",
                  IF(ISEVEN(C10),
                              calc1!$Q$3+D10*calc1!$H$4,
                              calc1!$S$3-D10*calc1!$H$4),
            IF(modify!$B$3="non alternating, starting at back left corner",
                  calc1!$Q$3+D10*calc1!$H$4,
            IF(modify!$B$3="non alternating, starting at front left corner",
                  calc1!$S$3-D10*calc1!$H$4,
      ""))))),"")</f>
        <v>134.16666666666666</v>
      </c>
      <c r="G10" s="23">
        <f>IF(calc3!I10=TRUE,
      IF(
            calc3!B10&lt;=calc1!$E$3,
                  calc1!$N$6-initialize!$Q$2/(calc1!$E$3+1)*calc3!B10,
            IF(calc3!B10&lt;=calc1!$E$3+calc1!$E$4,
                  calc1!$N$6-initialize!$Q$2/(calc1!$E$4+1)*(calc3!B10-calc1!$E$3)-calc1!$E$2-initialize!$Q$2,
           IF(calc3!B10&lt;=calc1!$H$3,
                  calc1!$N$6-initialize!$Q$2/(calc1!$E$5+1)*(calc3!B10-calc1!$E$3-calc1!$E$4)-(calc1!$E$2+initialize!$Q$2)*2,""))),"")</f>
        <v>268.27272727272725</v>
      </c>
      <c r="H10" s="69">
        <f>IF(AND(calc3!I10=TRUE,
                         ROUNDUP(calc3!A10/calc1!$N$3,0)&lt;=calc1!$O$3),
      calc1!$O$6-initialize!$Q$3,
      "")</f>
        <v>122</v>
      </c>
      <c r="I10" s="23" t="b">
        <f>IF(AND(calc3!A10&gt;0,
                         calc3!A10&lt;=calc1!$H$2),
      IF(MOD(calc3!A10-1,modify!$B$6)=0,
            TRUE,
            FALSE),
      "")</f>
        <v>1</v>
      </c>
      <c r="J10" s="69" t="b">
        <f>IF(I10=TRUE,
      IF(MOD(calc3!B10,modify!$K$2)=0,
            TRUE,
            FALSE),
      "")</f>
        <v>1</v>
      </c>
      <c r="K10" s="20" t="str">
        <f>IF(I10=TRUE,
   "G0"&amp;
      " Z"&amp;calc1!$U$3&amp;
      " F"&amp; initialize!$W$3&amp;
      CHAR(10)&amp;
    "G0"&amp;
      " X"&amp;E10&amp;
      " Y"&amp;F10&amp;
      " F"&amp; initialize!$W$2&amp;
       REPT(CHAR(9),4)&amp;
       "; move to sample No. "&amp;A10&amp;
      CHAR(10)&amp;
   "G0"&amp;
      " Z"&amp;calc1!$T$3&amp;
      " F"&amp;initialize!$W$3,
 "")</f>
        <v>G0 Z3,5 F500
G0 X40,5 Y134,166666666667 F20000				; move to sample No. 9
G0 Z0,05 F500</v>
      </c>
      <c r="L10" s="71" t="str">
        <f>IF(calc3!I10=TRUE,
   "G0 "&amp;
      "Z"&amp;calc1!$U$3 &amp;
      " F"&amp;initialize!$W$3&amp;
      CHAR(10)&amp;
   "G0"&amp;
      " X"&amp;calc3!G10&amp;
      " Y"&amp;H10&amp;
      " F"&amp;initialize!$W$2&amp;
       REPT(CHAR(9),4)&amp;
       "; move to spot No."&amp;B10&amp;
      CHAR(10)&amp;
   "G0"&amp;
      " Z"&amp;calc1!$P$6+initialize!$Q$4&amp;
      " F"&amp;initialize!$W$3&amp;
       REPT(CHAR(9),5)&amp;
       "; decrease z-velocity for contact with TLC"&amp;
      CHAR(10)&amp;
   "G0"&amp;
      " Z"&amp;calc1!$P$6&amp;
      " F"&amp;initialize!$W$4,
  "")</f>
        <v>G0 Z3,5 F500
G0 X268,272727272727 Y122 F20000				; move to spot No.9
G0 Z1,35 F500					; decrease z-velocity for contact with TLC
G0 Z0,35 F100</v>
      </c>
      <c r="M10" s="20" t="str">
        <f>IF(AND(calc3!J10=TRUE,I11&lt;&gt;"", modify!$K$3&gt;0),
        "; cleaning process"&amp;
         CHAR(10)&amp;
         calc2!$C$8 &amp;
          REPT(
               CHAR(10)&amp;
               calc2!$C$8, modify!$K$3-1),
      "")</f>
        <v>; cleaning process
G0 Z3,5 F500
G0 X191 Y212 F20000				; move to cleaning solution
G0 Z0,05 F500
G0 E-16,1745 F500					; retract
G0 Z3,5 F500
G0 X226 Y212 F20000				; move to waste bin
G0 Z2 F500
G0 E16,1745 F2500					; extrude cleaning solution
G4 P300						;pause</v>
      </c>
      <c r="N10" s="71" t="str">
        <f>IF(calc3!I10=TRUE,
      CHAR(10)&amp;
      "; Spot No."&amp;B10&amp;
      CHAR(10)&amp;
             IF(K10="", "", K10)&amp;                        REPLACE(N("rack"),1,1,"")&amp;CHAR(10)&amp;
             IF(calc2!$A$5="","",calc2!$A$5)&amp;        REPLACE(N("retraction"),1,1,"")&amp;CHAR(10)&amp;
             IF(L10="", "", L10)&amp;                           REPLACE(N("TLC"),1,1,"")&amp;CHAR(10)&amp;
             IF(calc2!$B$5="","",calc2!$B$5)&amp;         REPLACE(N("extrusion"),1,1,"")&amp;CHAR(10)&amp;
             IF(calc2!$C$5="","",calc2!$C$5)&amp;         REPLACE(N("waste"),1,1,"")&amp;CHAR(10)&amp;
             IF(M10="", "", M10)&amp;                          REPLACE(N("cleaning process"),1,1,""),
      "")</f>
        <v xml:space="preserve">
; Spot No.9
G0 Z3,5 F500
G0 X40,5 Y134,166666666667 F20000				; move to sample No. 9
G0 Z0,05 F500
; sampling
G0 E-10,783 F500					; extrusion in sample
G0 E5 F500						; partially retract in sample
G0 Z3,5 F500
G0 X268,272727272727 Y122 F20000				; move to spot No.9
G0 Z1,35 F500					; decrease z-velocity for contact with TLC
G0 Z0,35 F100
; spotting
G0 E0,0783 F25					; first extrusion per spot
G4 P300						; waiting time on spot after extrusion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 waste
G0 Z3,5 F500
G0 X226 Y212 F20000				; move to waste bin
G0 Z2 F500
G0 E5 F2500						; extrude rest of sample solution
G4 P300						; pause for 100ms
; cleaning process
G0 Z3,5 F500
G0 X191 Y212 F20000				; move to cleaning solution
G0 Z0,05 F500
G0 E-16,1745 F500					; retract
G0 Z3,5 F500
G0 X226 Y212 F20000				; move to waste bin
G0 Z2 F500
G0 E16,1745 F2500					; extrude cleaning solution
G4 P300						;pause</v>
      </c>
    </row>
    <row r="11" spans="1:15" ht="14.65" customHeight="1">
      <c r="A11" s="19">
        <v>10</v>
      </c>
      <c r="B11" s="69">
        <f>IF(calc3!I11=TRUE,
      COUNTIF(calc3!$I$2:I11,TRUE),
      "")</f>
        <v>10</v>
      </c>
      <c r="C11" s="44">
        <f>IF(calc3!I11=TRUE,ROUNDUP(calc3!A11/calc1!$N$3,0),"")</f>
        <v>2</v>
      </c>
      <c r="D11" s="69">
        <f>IF(calc3!I11=TRUE,MOD((calc3!A11-1),calc1!$N$3),"")</f>
        <v>2</v>
      </c>
      <c r="E11" s="23">
        <f>IF(AND(calc3!I11=TRUE,
                         C11&lt;=calc1!$O$3),
      INT((calc3!A11-1)/calc1!$N$3)*calc1!$H$5+calc1!$P$3,
      "")</f>
        <v>40.5</v>
      </c>
      <c r="F11" s="69">
        <f>IF(AND(calc3!I11=TRUE,
                        C11&lt;=calc1!$O$3),
      IF(
            calc1!$N$3=1,
                  calc1!$Q$3,
            IF(modify!$B$3="s-shape, starting at back left corner",
                  IF(ISODD(C11),
                             calc1!Q$3+D11*calc1!$H$4,
                              calc1!$S$3-D11*calc1!$H$4),
           IF(modify!$B$3="s-shape, starting at front left corner",
                  IF(ISEVEN(C11),
                              calc1!$Q$3+D11*calc1!$H$4,
                              calc1!$S$3-D11*calc1!$H$4),
            IF(modify!$B$3="non alternating, starting at back left corner",
                  calc1!$Q$3+D11*calc1!$H$4,
            IF(modify!$B$3="non alternating, starting at front left corner",
                  calc1!$S$3-D11*calc1!$H$4,
      ""))))),"")</f>
        <v>166.33333333333331</v>
      </c>
      <c r="G11" s="23">
        <f>IF(calc3!I11=TRUE,
      IF(
            calc3!B11&lt;=calc1!$E$3,
                  calc1!$N$6-initialize!$Q$2/(calc1!$E$3+1)*calc3!B11,
            IF(calc3!B11&lt;=calc1!$E$3+calc1!$E$4,
                  calc1!$N$6-initialize!$Q$2/(calc1!$E$4+1)*(calc3!B11-calc1!$E$3)-calc1!$E$2-initialize!$Q$2,
           IF(calc3!B11&lt;=calc1!$H$3,
                  calc1!$N$6-initialize!$Q$2/(calc1!$E$5+1)*(calc3!B11-calc1!$E$3-calc1!$E$4)-(calc1!$E$2+initialize!$Q$2)*2,""))),"")</f>
        <v>264.63636363636363</v>
      </c>
      <c r="H11" s="69">
        <f>IF(AND(calc3!I11=TRUE,
                         ROUNDUP(calc3!A11/calc1!$N$3,0)&lt;=calc1!$O$3),
      calc1!$O$6-initialize!$Q$3,
      "")</f>
        <v>122</v>
      </c>
      <c r="I11" s="23" t="b">
        <f>IF(AND(calc3!A11&gt;0,
                         calc3!A11&lt;=calc1!$H$2),
      IF(MOD(calc3!A11-1,modify!$B$6)=0,
            TRUE,
            FALSE),
      "")</f>
        <v>1</v>
      </c>
      <c r="J11" s="69" t="b">
        <f>IF(I11=TRUE,
      IF(MOD(calc3!B11,modify!$K$2)=0,
            TRUE,
            FALSE),
      "")</f>
        <v>1</v>
      </c>
      <c r="K11" s="20" t="str">
        <f>IF(I11=TRUE,
   "G0"&amp;
      " Z"&amp;calc1!$U$3&amp;
      " F"&amp; initialize!$W$3&amp;
      CHAR(10)&amp;
    "G0"&amp;
      " X"&amp;E11&amp;
      " Y"&amp;F11&amp;
      " F"&amp; initialize!$W$2&amp;
       REPT(CHAR(9),4)&amp;
       "; move to sample No. "&amp;A11&amp;
      CHAR(10)&amp;
   "G0"&amp;
      " Z"&amp;calc1!$T$3&amp;
      " F"&amp;initialize!$W$3,
 "")</f>
        <v>G0 Z3,5 F500
G0 X40,5 Y166,333333333333 F20000				; move to sample No. 10
G0 Z0,05 F500</v>
      </c>
      <c r="L11" s="71" t="str">
        <f>IF(calc3!I11=TRUE,
   "G0 "&amp;
      "Z"&amp;calc1!$U$3 &amp;
      " F"&amp;initialize!$W$3&amp;
      CHAR(10)&amp;
   "G0"&amp;
      " X"&amp;calc3!G11&amp;
      " Y"&amp;H11&amp;
      " F"&amp;initialize!$W$2&amp;
       REPT(CHAR(9),4)&amp;
       "; move to spot No."&amp;B11&amp;
      CHAR(10)&amp;
   "G0"&amp;
      " Z"&amp;calc1!$P$6+initialize!$Q$4&amp;
      " F"&amp;initialize!$W$3&amp;
       REPT(CHAR(9),5)&amp;
       "; decrease z-velocity for contact with TLC"&amp;
      CHAR(10)&amp;
   "G0"&amp;
      " Z"&amp;calc1!$P$6&amp;
      " F"&amp;initialize!$W$4,
  "")</f>
        <v>G0 Z3,5 F500
G0 X264,636363636364 Y122 F20000				; move to spot No.10
G0 Z1,35 F500					; decrease z-velocity for contact with TLC
G0 Z0,35 F100</v>
      </c>
      <c r="M11" s="20" t="str">
        <f>IF(AND(calc3!J11=TRUE,I12&lt;&gt;"", modify!$K$3&gt;0),
        "; cleaning process"&amp;
         CHAR(10)&amp;
         calc2!$C$8 &amp;
          REPT(
               CHAR(10)&amp;
               calc2!$C$8, modify!$K$3-1),
      "")</f>
        <v>; cleaning process
G0 Z3,5 F500
G0 X191 Y212 F20000				; move to cleaning solution
G0 Z0,05 F500
G0 E-16,1745 F500					; retract
G0 Z3,5 F500
G0 X226 Y212 F20000				; move to waste bin
G0 Z2 F500
G0 E16,1745 F2500					; extrude cleaning solution
G4 P300						;pause</v>
      </c>
      <c r="N11" s="71" t="str">
        <f>IF(calc3!I11=TRUE,
      CHAR(10)&amp;
      "; Spot No."&amp;B11&amp;
      CHAR(10)&amp;
             IF(K11="", "", K11)&amp;                        REPLACE(N("rack"),1,1,"")&amp;CHAR(10)&amp;
             IF(calc2!$A$5="","",calc2!$A$5)&amp;        REPLACE(N("retraction"),1,1,"")&amp;CHAR(10)&amp;
             IF(L11="", "", L11)&amp;                           REPLACE(N("TLC"),1,1,"")&amp;CHAR(10)&amp;
             IF(calc2!$B$5="","",calc2!$B$5)&amp;         REPLACE(N("extrusion"),1,1,"")&amp;CHAR(10)&amp;
             IF(calc2!$C$5="","",calc2!$C$5)&amp;         REPLACE(N("waste"),1,1,"")&amp;CHAR(10)&amp;
             IF(M11="", "", M11)&amp;                          REPLACE(N("cleaning process"),1,1,""),
      "")</f>
        <v xml:space="preserve">
; Spot No.10
G0 Z3,5 F500
G0 X40,5 Y166,333333333333 F20000				; move to sample No. 10
G0 Z0,05 F500
; sampling
G0 E-10,783 F500					; extrusion in sample
G0 E5 F500						; partially retract in sample
G0 Z3,5 F500
G0 X264,636363636364 Y122 F20000				; move to spot No.10
G0 Z1,35 F500					; decrease z-velocity for contact with TLC
G0 Z0,35 F100
; spotting
G0 E0,0783 F25					; first extrusion per spot
G4 P300						; waiting time on spot after extrusion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 waste
G0 Z3,5 F500
G0 X226 Y212 F20000				; move to waste bin
G0 Z2 F500
G0 E5 F2500						; extrude rest of sample solution
G4 P300						; pause for 100ms
; cleaning process
G0 Z3,5 F500
G0 X191 Y212 F20000				; move to cleaning solution
G0 Z0,05 F500
G0 E-16,1745 F500					; retract
G0 Z3,5 F500
G0 X226 Y212 F20000				; move to waste bin
G0 Z2 F500
G0 E16,1745 F2500					; extrude cleaning solution
G4 P300						;pause</v>
      </c>
    </row>
    <row r="12" spans="1:15" ht="14.65" customHeight="1">
      <c r="A12" s="19">
        <v>11</v>
      </c>
      <c r="B12" s="69">
        <f>IF(calc3!I12=TRUE,
      COUNTIF(calc3!$I$2:I12,TRUE),
      "")</f>
        <v>11</v>
      </c>
      <c r="C12" s="44">
        <f>IF(calc3!I12=TRUE,ROUNDUP(calc3!A12/calc1!$N$3,0),"")</f>
        <v>2</v>
      </c>
      <c r="D12" s="69">
        <f>IF(calc3!I12=TRUE,MOD((calc3!A12-1),calc1!$N$3),"")</f>
        <v>3</v>
      </c>
      <c r="E12" s="23">
        <f>IF(AND(calc3!I12=TRUE,
                         C12&lt;=calc1!$O$3),
      INT((calc3!A12-1)/calc1!$N$3)*calc1!$H$5+calc1!$P$3,
      "")</f>
        <v>40.5</v>
      </c>
      <c r="F12" s="69">
        <f>IF(AND(calc3!I12=TRUE,
                        C12&lt;=calc1!$O$3),
      IF(
            calc1!$N$3=1,
                  calc1!$Q$3,
            IF(modify!$B$3="s-shape, starting at back left corner",
                  IF(ISODD(C12),
                             calc1!Q$3+D12*calc1!$H$4,
                              calc1!$S$3-D12*calc1!$H$4),
           IF(modify!$B$3="s-shape, starting at front left corner",
                  IF(ISEVEN(C12),
                              calc1!$Q$3+D12*calc1!$H$4,
                              calc1!$S$3-D12*calc1!$H$4),
            IF(modify!$B$3="non alternating, starting at back left corner",
                  calc1!$Q$3+D12*calc1!$H$4,
            IF(modify!$B$3="non alternating, starting at front left corner",
                  calc1!$S$3-D12*calc1!$H$4,
      ""))))),"")</f>
        <v>198.5</v>
      </c>
      <c r="G12" s="23">
        <f>IF(calc3!I12=TRUE,
      IF(
            calc3!B12&lt;=calc1!$E$3,
                  calc1!$N$6-initialize!$Q$2/(calc1!$E$3+1)*calc3!B12,
            IF(calc3!B12&lt;=calc1!$E$3+calc1!$E$4,
                  calc1!$N$6-initialize!$Q$2/(calc1!$E$4+1)*(calc3!B12-calc1!$E$3)-calc1!$E$2-initialize!$Q$2,
           IF(calc3!B12&lt;=calc1!$H$3,
                  calc1!$N$6-initialize!$Q$2/(calc1!$E$5+1)*(calc3!B12-calc1!$E$3-calc1!$E$4)-(calc1!$E$2+initialize!$Q$2)*2,""))),"")</f>
        <v>254.31299999999999</v>
      </c>
      <c r="H12" s="69">
        <f>IF(AND(calc3!I12=TRUE,
                         ROUNDUP(calc3!A12/calc1!$N$3,0)&lt;=calc1!$O$3),
      calc1!$O$6-initialize!$Q$3,
      "")</f>
        <v>122</v>
      </c>
      <c r="I12" s="23" t="b">
        <f>IF(AND(calc3!A12&gt;0,
                         calc3!A12&lt;=calc1!$H$2),
      IF(MOD(calc3!A12-1,modify!$B$6)=0,
            TRUE,
            FALSE),
      "")</f>
        <v>1</v>
      </c>
      <c r="J12" s="69" t="b">
        <f>IF(I12=TRUE,
      IF(MOD(calc3!B12,modify!$K$2)=0,
            TRUE,
            FALSE),
      "")</f>
        <v>1</v>
      </c>
      <c r="K12" s="20" t="str">
        <f>IF(I12=TRUE,
   "G0"&amp;
      " Z"&amp;calc1!$U$3&amp;
      " F"&amp; initialize!$W$3&amp;
      CHAR(10)&amp;
    "G0"&amp;
      " X"&amp;E12&amp;
      " Y"&amp;F12&amp;
      " F"&amp; initialize!$W$2&amp;
       REPT(CHAR(9),4)&amp;
       "; move to sample No. "&amp;A12&amp;
      CHAR(10)&amp;
   "G0"&amp;
      " Z"&amp;calc1!$T$3&amp;
      " F"&amp;initialize!$W$3,
 "")</f>
        <v>G0 Z3,5 F500
G0 X40,5 Y198,5 F20000				; move to sample No. 11
G0 Z0,05 F500</v>
      </c>
      <c r="L12" s="71" t="str">
        <f>IF(calc3!I12=TRUE,
   "G0 "&amp;
      "Z"&amp;calc1!$U$3 &amp;
      " F"&amp;initialize!$W$3&amp;
      CHAR(10)&amp;
   "G0"&amp;
      " X"&amp;calc3!G12&amp;
      " Y"&amp;H12&amp;
      " F"&amp;initialize!$W$2&amp;
       REPT(CHAR(9),4)&amp;
       "; move to spot No."&amp;B12&amp;
      CHAR(10)&amp;
   "G0"&amp;
      " Z"&amp;calc1!$P$6+initialize!$Q$4&amp;
      " F"&amp;initialize!$W$3&amp;
       REPT(CHAR(9),5)&amp;
       "; decrease z-velocity for contact with TLC"&amp;
      CHAR(10)&amp;
   "G0"&amp;
      " Z"&amp;calc1!$P$6&amp;
      " F"&amp;initialize!$W$4,
  "")</f>
        <v>G0 Z3,5 F500
G0 X254,313 Y122 F20000				; move to spot No.11
G0 Z1,35 F500					; decrease z-velocity for contact with TLC
G0 Z0,35 F100</v>
      </c>
      <c r="M12" s="20" t="str">
        <f>IF(AND(calc3!J12=TRUE,I13&lt;&gt;"", modify!$K$3&gt;0),
        "; cleaning process"&amp;
         CHAR(10)&amp;
         calc2!$C$8 &amp;
          REPT(
               CHAR(10)&amp;
               calc2!$C$8, modify!$K$3-1),
      "")</f>
        <v>; cleaning process
G0 Z3,5 F500
G0 X191 Y212 F20000				; move to cleaning solution
G0 Z0,05 F500
G0 E-16,1745 F500					; retract
G0 Z3,5 F500
G0 X226 Y212 F20000				; move to waste bin
G0 Z2 F500
G0 E16,1745 F2500					; extrude cleaning solution
G4 P300						;pause</v>
      </c>
      <c r="N12" s="71" t="str">
        <f>IF(calc3!I12=TRUE,
      CHAR(10)&amp;
      "; Spot No."&amp;B12&amp;
      CHAR(10)&amp;
             IF(K12="", "", K12)&amp;                        REPLACE(N("rack"),1,1,"")&amp;CHAR(10)&amp;
             IF(calc2!$A$5="","",calc2!$A$5)&amp;        REPLACE(N("retraction"),1,1,"")&amp;CHAR(10)&amp;
             IF(L12="", "", L12)&amp;                           REPLACE(N("TLC"),1,1,"")&amp;CHAR(10)&amp;
             IF(calc2!$B$5="","",calc2!$B$5)&amp;         REPLACE(N("extrusion"),1,1,"")&amp;CHAR(10)&amp;
             IF(calc2!$C$5="","",calc2!$C$5)&amp;         REPLACE(N("waste"),1,1,"")&amp;CHAR(10)&amp;
             IF(M12="", "", M12)&amp;                          REPLACE(N("cleaning process"),1,1,""),
      "")</f>
        <v xml:space="preserve">
; Spot No.11
G0 Z3,5 F500
G0 X40,5 Y198,5 F20000				; move to sample No. 11
G0 Z0,05 F500
; sampling
G0 E-10,783 F500					; extrusion in sample
G0 E5 F500						; partially retract in sample
G0 Z3,5 F500
G0 X254,313 Y122 F20000				; move to spot No.11
G0 Z1,35 F500					; decrease z-velocity for contact with TLC
G0 Z0,35 F100
; spotting
G0 E0,0783 F25					; first extrusion per spot
G4 P300						; waiting time on spot after extrusion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 waste
G0 Z3,5 F500
G0 X226 Y212 F20000				; move to waste bin
G0 Z2 F500
G0 E5 F2500						; extrude rest of sample solution
G4 P300						; pause for 100ms
; cleaning process
G0 Z3,5 F500
G0 X191 Y212 F20000				; move to cleaning solution
G0 Z0,05 F500
G0 E-16,1745 F500					; retract
G0 Z3,5 F500
G0 X226 Y212 F20000				; move to waste bin
G0 Z2 F500
G0 E16,1745 F2500					; extrude cleaning solution
G4 P300						;pause</v>
      </c>
    </row>
    <row r="13" spans="1:15" ht="14.65" customHeight="1">
      <c r="A13" s="19">
        <v>12</v>
      </c>
      <c r="B13" s="69">
        <f>IF(calc3!I13=TRUE,
      COUNTIF(calc3!$I$2:I13,TRUE),
      "")</f>
        <v>12</v>
      </c>
      <c r="C13" s="44">
        <f>IF(calc3!I13=TRUE,ROUNDUP(calc3!A13/calc1!$N$3,0),"")</f>
        <v>2</v>
      </c>
      <c r="D13" s="69">
        <f>IF(calc3!I13=TRUE,MOD((calc3!A13-1),calc1!$N$3),"")</f>
        <v>4</v>
      </c>
      <c r="E13" s="23">
        <f>IF(AND(calc3!I13=TRUE,
                         C13&lt;=calc1!$O$3),
      INT((calc3!A13-1)/calc1!$N$3)*calc1!$H$5+calc1!$P$3,
      "")</f>
        <v>40.5</v>
      </c>
      <c r="F13" s="69">
        <f>IF(AND(calc3!I13=TRUE,
                        C13&lt;=calc1!$O$3),
      IF(
            calc1!$N$3=1,
                  calc1!$Q$3,
            IF(modify!$B$3="s-shape, starting at back left corner",
                  IF(ISODD(C13),
                             calc1!Q$3+D13*calc1!$H$4,
                              calc1!$S$3-D13*calc1!$H$4),
           IF(modify!$B$3="s-shape, starting at front left corner",
                  IF(ISEVEN(C13),
                              calc1!$Q$3+D13*calc1!$H$4,
                              calc1!$S$3-D13*calc1!$H$4),
            IF(modify!$B$3="non alternating, starting at back left corner",
                  calc1!$Q$3+D13*calc1!$H$4,
            IF(modify!$B$3="non alternating, starting at front left corner",
                  calc1!$S$3-D13*calc1!$H$4,
      ""))))),"")</f>
        <v>230.66666666666666</v>
      </c>
      <c r="G13" s="23">
        <f>IF(calc3!I13=TRUE,
      IF(
            calc3!B13&lt;=calc1!$E$3,
                  calc1!$N$6-initialize!$Q$2/(calc1!$E$3+1)*calc3!B13,
            IF(calc3!B13&lt;=calc1!$E$3+calc1!$E$4,
                  calc1!$N$6-initialize!$Q$2/(calc1!$E$4+1)*(calc3!B13-calc1!$E$3)-calc1!$E$2-initialize!$Q$2,
           IF(calc3!B13&lt;=calc1!$H$3,
                  calc1!$N$6-initialize!$Q$2/(calc1!$E$5+1)*(calc3!B13-calc1!$E$3-calc1!$E$4)-(calc1!$E$2+initialize!$Q$2)*2,""))),"")</f>
        <v>250.31299999999999</v>
      </c>
      <c r="H13" s="69">
        <f>IF(AND(calc3!I13=TRUE,
                         ROUNDUP(calc3!A13/calc1!$N$3,0)&lt;=calc1!$O$3),
      calc1!$O$6-initialize!$Q$3,
      "")</f>
        <v>122</v>
      </c>
      <c r="I13" s="23" t="b">
        <f>IF(AND(calc3!A13&gt;0,
                         calc3!A13&lt;=calc1!$H$2),
      IF(MOD(calc3!A13-1,modify!$B$6)=0,
            TRUE,
            FALSE),
      "")</f>
        <v>1</v>
      </c>
      <c r="J13" s="69" t="b">
        <f>IF(I13=TRUE,
      IF(MOD(calc3!B13,modify!$K$2)=0,
            TRUE,
            FALSE),
      "")</f>
        <v>1</v>
      </c>
      <c r="K13" s="20" t="str">
        <f>IF(I13=TRUE,
   "G0"&amp;
      " Z"&amp;calc1!$U$3&amp;
      " F"&amp; initialize!$W$3&amp;
      CHAR(10)&amp;
    "G0"&amp;
      " X"&amp;E13&amp;
      " Y"&amp;F13&amp;
      " F"&amp; initialize!$W$2&amp;
       REPT(CHAR(9),4)&amp;
       "; move to sample No. "&amp;A13&amp;
      CHAR(10)&amp;
   "G0"&amp;
      " Z"&amp;calc1!$T$3&amp;
      " F"&amp;initialize!$W$3,
 "")</f>
        <v>G0 Z3,5 F500
G0 X40,5 Y230,666666666667 F20000				; move to sample No. 12
G0 Z0,05 F500</v>
      </c>
      <c r="L13" s="71" t="str">
        <f>IF(calc3!I13=TRUE,
   "G0 "&amp;
      "Z"&amp;calc1!$U$3 &amp;
      " F"&amp;initialize!$W$3&amp;
      CHAR(10)&amp;
   "G0"&amp;
      " X"&amp;calc3!G13&amp;
      " Y"&amp;H13&amp;
      " F"&amp;initialize!$W$2&amp;
       REPT(CHAR(9),4)&amp;
       "; move to spot No."&amp;B13&amp;
      CHAR(10)&amp;
   "G0"&amp;
      " Z"&amp;calc1!$P$6+initialize!$Q$4&amp;
      " F"&amp;initialize!$W$3&amp;
       REPT(CHAR(9),5)&amp;
       "; decrease z-velocity for contact with TLC"&amp;
      CHAR(10)&amp;
   "G0"&amp;
      " Z"&amp;calc1!$P$6&amp;
      " F"&amp;initialize!$W$4,
  "")</f>
        <v>G0 Z3,5 F500
G0 X250,313 Y122 F20000				; move to spot No.12
G0 Z1,35 F500					; decrease z-velocity for contact with TLC
G0 Z0,35 F100</v>
      </c>
      <c r="M13" s="20" t="str">
        <f>IF(AND(calc3!J13=TRUE,I14&lt;&gt;"", modify!$K$3&gt;0),
        "; cleaning process"&amp;
         CHAR(10)&amp;
         calc2!$C$8 &amp;
          REPT(
               CHAR(10)&amp;
               calc2!$C$8, modify!$K$3-1),
      "")</f>
        <v>; cleaning process
G0 Z3,5 F500
G0 X191 Y212 F20000				; move to cleaning solution
G0 Z0,05 F500
G0 E-16,1745 F500					; retract
G0 Z3,5 F500
G0 X226 Y212 F20000				; move to waste bin
G0 Z2 F500
G0 E16,1745 F2500					; extrude cleaning solution
G4 P300						;pause</v>
      </c>
      <c r="N13" s="71" t="str">
        <f>IF(calc3!I13=TRUE,
      CHAR(10)&amp;
      "; Spot No."&amp;B13&amp;
      CHAR(10)&amp;
             IF(K13="", "", K13)&amp;                        REPLACE(N("rack"),1,1,"")&amp;CHAR(10)&amp;
             IF(calc2!$A$5="","",calc2!$A$5)&amp;        REPLACE(N("retraction"),1,1,"")&amp;CHAR(10)&amp;
             IF(L13="", "", L13)&amp;                           REPLACE(N("TLC"),1,1,"")&amp;CHAR(10)&amp;
             IF(calc2!$B$5="","",calc2!$B$5)&amp;         REPLACE(N("extrusion"),1,1,"")&amp;CHAR(10)&amp;
             IF(calc2!$C$5="","",calc2!$C$5)&amp;         REPLACE(N("waste"),1,1,"")&amp;CHAR(10)&amp;
             IF(M13="", "", M13)&amp;                          REPLACE(N("cleaning process"),1,1,""),
      "")</f>
        <v xml:space="preserve">
; Spot No.12
G0 Z3,5 F500
G0 X40,5 Y230,666666666667 F20000				; move to sample No. 12
G0 Z0,05 F500
; sampling
G0 E-10,783 F500					; extrusion in sample
G0 E5 F500						; partially retract in sample
G0 Z3,5 F500
G0 X250,313 Y122 F20000				; move to spot No.12
G0 Z1,35 F500					; decrease z-velocity for contact with TLC
G0 Z0,35 F100
; spotting
G0 E0,0783 F25					; first extrusion per spot
G4 P300						; waiting time on spot after extrusion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 waste
G0 Z3,5 F500
G0 X226 Y212 F20000				; move to waste bin
G0 Z2 F500
G0 E5 F2500						; extrude rest of sample solution
G4 P300						; pause for 100ms
; cleaning process
G0 Z3,5 F500
G0 X191 Y212 F20000				; move to cleaning solution
G0 Z0,05 F500
G0 E-16,1745 F500					; retract
G0 Z3,5 F500
G0 X226 Y212 F20000				; move to waste bin
G0 Z2 F500
G0 E16,1745 F2500					; extrude cleaning solution
G4 P300						;pause</v>
      </c>
    </row>
    <row r="14" spans="1:15" ht="14.65" customHeight="1">
      <c r="A14" s="19">
        <v>13</v>
      </c>
      <c r="B14" s="69">
        <f>IF(calc3!I14=TRUE,
      COUNTIF(calc3!$I$2:I14,TRUE),
      "")</f>
        <v>13</v>
      </c>
      <c r="C14" s="44">
        <f>IF(calc3!I14=TRUE,ROUNDUP(calc3!A14/calc1!$N$3,0),"")</f>
        <v>2</v>
      </c>
      <c r="D14" s="69">
        <f>IF(calc3!I14=TRUE,MOD((calc3!A14-1),calc1!$N$3),"")</f>
        <v>5</v>
      </c>
      <c r="E14" s="23">
        <f>IF(AND(calc3!I14=TRUE,
                         C14&lt;=calc1!$O$3),
      INT((calc3!A14-1)/calc1!$N$3)*calc1!$H$5+calc1!$P$3,
      "")</f>
        <v>40.5</v>
      </c>
      <c r="F14" s="69">
        <f>IF(AND(calc3!I14=TRUE,
                        C14&lt;=calc1!$O$3),
      IF(
            calc1!$N$3=1,
                  calc1!$Q$3,
            IF(modify!$B$3="s-shape, starting at back left corner",
                  IF(ISODD(C14),
                             calc1!Q$3+D14*calc1!$H$4,
                              calc1!$S$3-D14*calc1!$H$4),
           IF(modify!$B$3="s-shape, starting at front left corner",
                  IF(ISEVEN(C14),
                              calc1!$Q$3+D14*calc1!$H$4,
                              calc1!$S$3-D14*calc1!$H$4),
            IF(modify!$B$3="non alternating, starting at back left corner",
                  calc1!$Q$3+D14*calc1!$H$4,
            IF(modify!$B$3="non alternating, starting at front left corner",
                  calc1!$S$3-D14*calc1!$H$4,
      ""))))),"")</f>
        <v>262.83333333333331</v>
      </c>
      <c r="G14" s="23">
        <f>IF(calc3!I14=TRUE,
      IF(
            calc3!B14&lt;=calc1!$E$3,
                  calc1!$N$6-initialize!$Q$2/(calc1!$E$3+1)*calc3!B14,
            IF(calc3!B14&lt;=calc1!$E$3+calc1!$E$4,
                  calc1!$N$6-initialize!$Q$2/(calc1!$E$4+1)*(calc3!B14-calc1!$E$3)-calc1!$E$2-initialize!$Q$2,
           IF(calc3!B14&lt;=calc1!$H$3,
                  calc1!$N$6-initialize!$Q$2/(calc1!$E$5+1)*(calc3!B14-calc1!$E$3-calc1!$E$4)-(calc1!$E$2+initialize!$Q$2)*2,""))),"")</f>
        <v>246.31299999999999</v>
      </c>
      <c r="H14" s="69">
        <f>IF(AND(calc3!I14=TRUE,
                         ROUNDUP(calc3!A14/calc1!$N$3,0)&lt;=calc1!$O$3),
      calc1!$O$6-initialize!$Q$3,
      "")</f>
        <v>122</v>
      </c>
      <c r="I14" s="23" t="b">
        <f>IF(AND(calc3!A14&gt;0,
                         calc3!A14&lt;=calc1!$H$2),
      IF(MOD(calc3!A14-1,modify!$B$6)=0,
            TRUE,
            FALSE),
      "")</f>
        <v>1</v>
      </c>
      <c r="J14" s="69" t="b">
        <f>IF(I14=TRUE,
      IF(MOD(calc3!B14,modify!$K$2)=0,
            TRUE,
            FALSE),
      "")</f>
        <v>1</v>
      </c>
      <c r="K14" s="20" t="str">
        <f>IF(I14=TRUE,
   "G0"&amp;
      " Z"&amp;calc1!$U$3&amp;
      " F"&amp; initialize!$W$3&amp;
      CHAR(10)&amp;
    "G0"&amp;
      " X"&amp;E14&amp;
      " Y"&amp;F14&amp;
      " F"&amp; initialize!$W$2&amp;
       REPT(CHAR(9),4)&amp;
       "; move to sample No. "&amp;A14&amp;
      CHAR(10)&amp;
   "G0"&amp;
      " Z"&amp;calc1!$T$3&amp;
      " F"&amp;initialize!$W$3,
 "")</f>
        <v>G0 Z3,5 F500
G0 X40,5 Y262,833333333333 F20000				; move to sample No. 13
G0 Z0,05 F500</v>
      </c>
      <c r="L14" s="71" t="str">
        <f>IF(calc3!I14=TRUE,
   "G0 "&amp;
      "Z"&amp;calc1!$U$3 &amp;
      " F"&amp;initialize!$W$3&amp;
      CHAR(10)&amp;
   "G0"&amp;
      " X"&amp;calc3!G14&amp;
      " Y"&amp;H14&amp;
      " F"&amp;initialize!$W$2&amp;
       REPT(CHAR(9),4)&amp;
       "; move to spot No."&amp;B14&amp;
      CHAR(10)&amp;
   "G0"&amp;
      " Z"&amp;calc1!$P$6+initialize!$Q$4&amp;
      " F"&amp;initialize!$W$3&amp;
       REPT(CHAR(9),5)&amp;
       "; decrease z-velocity for contact with TLC"&amp;
      CHAR(10)&amp;
   "G0"&amp;
      " Z"&amp;calc1!$P$6&amp;
      " F"&amp;initialize!$W$4,
  "")</f>
        <v>G0 Z3,5 F500
G0 X246,313 Y122 F20000				; move to spot No.13
G0 Z1,35 F500					; decrease z-velocity for contact with TLC
G0 Z0,35 F100</v>
      </c>
      <c r="M14" s="20" t="str">
        <f>IF(AND(calc3!J14=TRUE,I15&lt;&gt;"", modify!$K$3&gt;0),
        "; cleaning process"&amp;
         CHAR(10)&amp;
         calc2!$C$8 &amp;
          REPT(
               CHAR(10)&amp;
               calc2!$C$8, modify!$K$3-1),
      "")</f>
        <v>; cleaning process
G0 Z3,5 F500
G0 X191 Y212 F20000				; move to cleaning solution
G0 Z0,05 F500
G0 E-16,1745 F500					; retract
G0 Z3,5 F500
G0 X226 Y212 F20000				; move to waste bin
G0 Z2 F500
G0 E16,1745 F2500					; extrude cleaning solution
G4 P300						;pause</v>
      </c>
      <c r="N14" s="71" t="str">
        <f>IF(calc3!I14=TRUE,
      CHAR(10)&amp;
      "; Spot No."&amp;B14&amp;
      CHAR(10)&amp;
             IF(K14="", "", K14)&amp;                        REPLACE(N("rack"),1,1,"")&amp;CHAR(10)&amp;
             IF(calc2!$A$5="","",calc2!$A$5)&amp;        REPLACE(N("retraction"),1,1,"")&amp;CHAR(10)&amp;
             IF(L14="", "", L14)&amp;                           REPLACE(N("TLC"),1,1,"")&amp;CHAR(10)&amp;
             IF(calc2!$B$5="","",calc2!$B$5)&amp;         REPLACE(N("extrusion"),1,1,"")&amp;CHAR(10)&amp;
             IF(calc2!$C$5="","",calc2!$C$5)&amp;         REPLACE(N("waste"),1,1,"")&amp;CHAR(10)&amp;
             IF(M14="", "", M14)&amp;                          REPLACE(N("cleaning process"),1,1,""),
      "")</f>
        <v xml:space="preserve">
; Spot No.13
G0 Z3,5 F500
G0 X40,5 Y262,833333333333 F20000				; move to sample No. 13
G0 Z0,05 F500
; sampling
G0 E-10,783 F500					; extrusion in sample
G0 E5 F500						; partially retract in sample
G0 Z3,5 F500
G0 X246,313 Y122 F20000				; move to spot No.13
G0 Z1,35 F500					; decrease z-velocity for contact with TLC
G0 Z0,35 F100
; spotting
G0 E0,0783 F25					; first extrusion per spot
G4 P300						; waiting time on spot after extrusion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 waste
G0 Z3,5 F500
G0 X226 Y212 F20000				; move to waste bin
G0 Z2 F500
G0 E5 F2500						; extrude rest of sample solution
G4 P300						; pause for 100ms
; cleaning process
G0 Z3,5 F500
G0 X191 Y212 F20000				; move to cleaning solution
G0 Z0,05 F500
G0 E-16,1745 F500					; retract
G0 Z3,5 F500
G0 X226 Y212 F20000				; move to waste bin
G0 Z2 F500
G0 E16,1745 F2500					; extrude cleaning solution
G4 P300						;pause</v>
      </c>
    </row>
    <row r="15" spans="1:15" ht="14.65" customHeight="1">
      <c r="A15" s="19">
        <v>14</v>
      </c>
      <c r="B15" s="69">
        <f>IF(calc3!I15=TRUE,
      COUNTIF(calc3!$I$2:I15,TRUE),
      "")</f>
        <v>14</v>
      </c>
      <c r="C15" s="44">
        <f>IF(calc3!I15=TRUE,ROUNDUP(calc3!A15/calc1!$N$3,0),"")</f>
        <v>2</v>
      </c>
      <c r="D15" s="69">
        <f>IF(calc3!I15=TRUE,MOD((calc3!A15-1),calc1!$N$3),"")</f>
        <v>6</v>
      </c>
      <c r="E15" s="23">
        <f>IF(AND(calc3!I15=TRUE,
                         C15&lt;=calc1!$O$3),
      INT((calc3!A15-1)/calc1!$N$3)*calc1!$H$5+calc1!$P$3,
      "")</f>
        <v>40.5</v>
      </c>
      <c r="F15" s="69">
        <f>IF(AND(calc3!I15=TRUE,
                        C15&lt;=calc1!$O$3),
      IF(
            calc1!$N$3=1,
                  calc1!$Q$3,
            IF(modify!$B$3="s-shape, starting at back left corner",
                  IF(ISODD(C15),
                             calc1!Q$3+D15*calc1!$H$4,
                              calc1!$S$3-D15*calc1!$H$4),
           IF(modify!$B$3="s-shape, starting at front left corner",
                  IF(ISEVEN(C15),
                              calc1!$Q$3+D15*calc1!$H$4,
                              calc1!$S$3-D15*calc1!$H$4),
            IF(modify!$B$3="non alternating, starting at back left corner",
                  calc1!$Q$3+D15*calc1!$H$4,
            IF(modify!$B$3="non alternating, starting at front left corner",
                  calc1!$S$3-D15*calc1!$H$4,
      ""))))),"")</f>
        <v>295</v>
      </c>
      <c r="G15" s="23">
        <f>IF(calc3!I15=TRUE,
      IF(
            calc3!B15&lt;=calc1!$E$3,
                  calc1!$N$6-initialize!$Q$2/(calc1!$E$3+1)*calc3!B15,
            IF(calc3!B15&lt;=calc1!$E$3+calc1!$E$4,
                  calc1!$N$6-initialize!$Q$2/(calc1!$E$4+1)*(calc3!B15-calc1!$E$3)-calc1!$E$2-initialize!$Q$2,
           IF(calc3!B15&lt;=calc1!$H$3,
                  calc1!$N$6-initialize!$Q$2/(calc1!$E$5+1)*(calc3!B15-calc1!$E$3-calc1!$E$4)-(calc1!$E$2+initialize!$Q$2)*2,""))),"")</f>
        <v>242.31299999999999</v>
      </c>
      <c r="H15" s="69">
        <f>IF(AND(calc3!I15=TRUE,
                         ROUNDUP(calc3!A15/calc1!$N$3,0)&lt;=calc1!$O$3),
      calc1!$O$6-initialize!$Q$3,
      "")</f>
        <v>122</v>
      </c>
      <c r="I15" s="23" t="b">
        <f>IF(AND(calc3!A15&gt;0,
                         calc3!A15&lt;=calc1!$H$2),
      IF(MOD(calc3!A15-1,modify!$B$6)=0,
            TRUE,
            FALSE),
      "")</f>
        <v>1</v>
      </c>
      <c r="J15" s="69" t="b">
        <f>IF(I15=TRUE,
      IF(MOD(calc3!B15,modify!$K$2)=0,
            TRUE,
            FALSE),
      "")</f>
        <v>1</v>
      </c>
      <c r="K15" s="20" t="str">
        <f>IF(I15=TRUE,
   "G0"&amp;
      " Z"&amp;calc1!$U$3&amp;
      " F"&amp; initialize!$W$3&amp;
      CHAR(10)&amp;
    "G0"&amp;
      " X"&amp;E15&amp;
      " Y"&amp;F15&amp;
      " F"&amp; initialize!$W$2&amp;
       REPT(CHAR(9),4)&amp;
       "; move to sample No. "&amp;A15&amp;
      CHAR(10)&amp;
   "G0"&amp;
      " Z"&amp;calc1!$T$3&amp;
      " F"&amp;initialize!$W$3,
 "")</f>
        <v>G0 Z3,5 F500
G0 X40,5 Y295 F20000				; move to sample No. 14
G0 Z0,05 F500</v>
      </c>
      <c r="L15" s="71" t="str">
        <f>IF(calc3!I15=TRUE,
   "G0 "&amp;
      "Z"&amp;calc1!$U$3 &amp;
      " F"&amp;initialize!$W$3&amp;
      CHAR(10)&amp;
   "G0"&amp;
      " X"&amp;calc3!G15&amp;
      " Y"&amp;H15&amp;
      " F"&amp;initialize!$W$2&amp;
       REPT(CHAR(9),4)&amp;
       "; move to spot No."&amp;B15&amp;
      CHAR(10)&amp;
   "G0"&amp;
      " Z"&amp;calc1!$P$6+initialize!$Q$4&amp;
      " F"&amp;initialize!$W$3&amp;
       REPT(CHAR(9),5)&amp;
       "; decrease z-velocity for contact with TLC"&amp;
      CHAR(10)&amp;
   "G0"&amp;
      " Z"&amp;calc1!$P$6&amp;
      " F"&amp;initialize!$W$4,
  "")</f>
        <v>G0 Z3,5 F500
G0 X242,313 Y122 F20000				; move to spot No.14
G0 Z1,35 F500					; decrease z-velocity for contact with TLC
G0 Z0,35 F100</v>
      </c>
      <c r="M15" s="20" t="str">
        <f>IF(AND(calc3!J15=TRUE,I16&lt;&gt;"", modify!$K$3&gt;0),
        "; cleaning process"&amp;
         CHAR(10)&amp;
         calc2!$C$8 &amp;
          REPT(
               CHAR(10)&amp;
               calc2!$C$8, modify!$K$3-1),
      "")</f>
        <v>; cleaning process
G0 Z3,5 F500
G0 X191 Y212 F20000				; move to cleaning solution
G0 Z0,05 F500
G0 E-16,1745 F500					; retract
G0 Z3,5 F500
G0 X226 Y212 F20000				; move to waste bin
G0 Z2 F500
G0 E16,1745 F2500					; extrude cleaning solution
G4 P300						;pause</v>
      </c>
      <c r="N15" s="71" t="str">
        <f>IF(calc3!I15=TRUE,
      CHAR(10)&amp;
      "; Spot No."&amp;B15&amp;
      CHAR(10)&amp;
             IF(K15="", "", K15)&amp;                        REPLACE(N("rack"),1,1,"")&amp;CHAR(10)&amp;
             IF(calc2!$A$5="","",calc2!$A$5)&amp;        REPLACE(N("retraction"),1,1,"")&amp;CHAR(10)&amp;
             IF(L15="", "", L15)&amp;                           REPLACE(N("TLC"),1,1,"")&amp;CHAR(10)&amp;
             IF(calc2!$B$5="","",calc2!$B$5)&amp;         REPLACE(N("extrusion"),1,1,"")&amp;CHAR(10)&amp;
             IF(calc2!$C$5="","",calc2!$C$5)&amp;         REPLACE(N("waste"),1,1,"")&amp;CHAR(10)&amp;
             IF(M15="", "", M15)&amp;                          REPLACE(N("cleaning process"),1,1,""),
      "")</f>
        <v xml:space="preserve">
; Spot No.14
G0 Z3,5 F500
G0 X40,5 Y295 F20000				; move to sample No. 14
G0 Z0,05 F500
; sampling
G0 E-10,783 F500					; extrusion in sample
G0 E5 F500						; partially retract in sample
G0 Z3,5 F500
G0 X242,313 Y122 F20000				; move to spot No.14
G0 Z1,35 F500					; decrease z-velocity for contact with TLC
G0 Z0,35 F100
; spotting
G0 E0,0783 F25					; first extrusion per spot
G4 P300						; waiting time on spot after extrusion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 waste
G0 Z3,5 F500
G0 X226 Y212 F20000				; move to waste bin
G0 Z2 F500
G0 E5 F2500						; extrude rest of sample solution
G4 P300						; pause for 100ms
; cleaning process
G0 Z3,5 F500
G0 X191 Y212 F20000				; move to cleaning solution
G0 Z0,05 F500
G0 E-16,1745 F500					; retract
G0 Z3,5 F500
G0 X226 Y212 F20000				; move to waste bin
G0 Z2 F500
G0 E16,1745 F2500					; extrude cleaning solution
G4 P300						;pause</v>
      </c>
    </row>
    <row r="16" spans="1:15" ht="14.65" customHeight="1">
      <c r="A16" s="19">
        <v>15</v>
      </c>
      <c r="B16" s="69">
        <f>IF(calc3!I16=TRUE,
      COUNTIF(calc3!$I$2:I16,TRUE),
      "")</f>
        <v>15</v>
      </c>
      <c r="C16" s="44">
        <f>IF(calc3!I16=TRUE,ROUNDUP(calc3!A16/calc1!$N$3,0),"")</f>
        <v>3</v>
      </c>
      <c r="D16" s="69">
        <f>IF(calc3!I16=TRUE,MOD((calc3!A16-1),calc1!$N$3),"")</f>
        <v>0</v>
      </c>
      <c r="E16" s="23">
        <f>IF(AND(calc3!I16=TRUE,
                         C16&lt;=calc1!$O$3),
      INT((calc3!A16-1)/calc1!$N$3)*calc1!$H$5+calc1!$P$3,
      "")</f>
        <v>81</v>
      </c>
      <c r="F16" s="69">
        <f>IF(AND(calc3!I16=TRUE,
                        C16&lt;=calc1!$O$3),
      IF(
            calc1!$N$3=1,
                  calc1!$Q$3,
            IF(modify!$B$3="s-shape, starting at back left corner",
                  IF(ISODD(C16),
                             calc1!Q$3+D16*calc1!$H$4,
                              calc1!$S$3-D16*calc1!$H$4),
           IF(modify!$B$3="s-shape, starting at front left corner",
                  IF(ISEVEN(C16),
                              calc1!$Q$3+D16*calc1!$H$4,
                              calc1!$S$3-D16*calc1!$H$4),
            IF(modify!$B$3="non alternating, starting at back left corner",
                  calc1!$Q$3+D16*calc1!$H$4,
            IF(modify!$B$3="non alternating, starting at front left corner",
                  calc1!$S$3-D16*calc1!$H$4,
      ""))))),"")</f>
        <v>295</v>
      </c>
      <c r="G16" s="23">
        <f>IF(calc3!I16=TRUE,
      IF(
            calc3!B16&lt;=calc1!$E$3,
                  calc1!$N$6-initialize!$Q$2/(calc1!$E$3+1)*calc3!B16,
            IF(calc3!B16&lt;=calc1!$E$3+calc1!$E$4,
                  calc1!$N$6-initialize!$Q$2/(calc1!$E$4+1)*(calc3!B16-calc1!$E$3)-calc1!$E$2-initialize!$Q$2,
           IF(calc3!B16&lt;=calc1!$H$3,
                  calc1!$N$6-initialize!$Q$2/(calc1!$E$5+1)*(calc3!B16-calc1!$E$3-calc1!$E$4)-(calc1!$E$2+initialize!$Q$2)*2,""))),"")</f>
        <v>238.31299999999999</v>
      </c>
      <c r="H16" s="69">
        <f>IF(AND(calc3!I16=TRUE,
                         ROUNDUP(calc3!A16/calc1!$N$3,0)&lt;=calc1!$O$3),
      calc1!$O$6-initialize!$Q$3,
      "")</f>
        <v>122</v>
      </c>
      <c r="I16" s="23" t="b">
        <f>IF(AND(calc3!A16&gt;0,
                         calc3!A16&lt;=calc1!$H$2),
      IF(MOD(calc3!A16-1,modify!$B$6)=0,
            TRUE,
            FALSE),
      "")</f>
        <v>1</v>
      </c>
      <c r="J16" s="69" t="b">
        <f>IF(I16=TRUE,
      IF(MOD(calc3!B16,modify!$K$2)=0,
            TRUE,
            FALSE),
      "")</f>
        <v>1</v>
      </c>
      <c r="K16" s="20" t="str">
        <f>IF(I16=TRUE,
   "G0"&amp;
      " Z"&amp;calc1!$U$3&amp;
      " F"&amp; initialize!$W$3&amp;
      CHAR(10)&amp;
    "G0"&amp;
      " X"&amp;E16&amp;
      " Y"&amp;F16&amp;
      " F"&amp; initialize!$W$2&amp;
       REPT(CHAR(9),4)&amp;
       "; move to sample No. "&amp;A16&amp;
      CHAR(10)&amp;
   "G0"&amp;
      " Z"&amp;calc1!$T$3&amp;
      " F"&amp;initialize!$W$3,
 "")</f>
        <v>G0 Z3,5 F500
G0 X81 Y295 F20000				; move to sample No. 15
G0 Z0,05 F500</v>
      </c>
      <c r="L16" s="71" t="str">
        <f>IF(calc3!I16=TRUE,
   "G0 "&amp;
      "Z"&amp;calc1!$U$3 &amp;
      " F"&amp;initialize!$W$3&amp;
      CHAR(10)&amp;
   "G0"&amp;
      " X"&amp;calc3!G16&amp;
      " Y"&amp;H16&amp;
      " F"&amp;initialize!$W$2&amp;
       REPT(CHAR(9),4)&amp;
       "; move to spot No."&amp;B16&amp;
      CHAR(10)&amp;
   "G0"&amp;
      " Z"&amp;calc1!$P$6+initialize!$Q$4&amp;
      " F"&amp;initialize!$W$3&amp;
       REPT(CHAR(9),5)&amp;
       "; decrease z-velocity for contact with TLC"&amp;
      CHAR(10)&amp;
   "G0"&amp;
      " Z"&amp;calc1!$P$6&amp;
      " F"&amp;initialize!$W$4,
  "")</f>
        <v>G0 Z3,5 F500
G0 X238,313 Y122 F20000				; move to spot No.15
G0 Z1,35 F500					; decrease z-velocity for contact with TLC
G0 Z0,35 F100</v>
      </c>
      <c r="M16" s="20" t="str">
        <f>IF(AND(calc3!J16=TRUE,I17&lt;&gt;"", modify!$K$3&gt;0),
        "; cleaning process"&amp;
         CHAR(10)&amp;
         calc2!$C$8 &amp;
          REPT(
               CHAR(10)&amp;
               calc2!$C$8, modify!$K$3-1),
      "")</f>
        <v>; cleaning process
G0 Z3,5 F500
G0 X191 Y212 F20000				; move to cleaning solution
G0 Z0,05 F500
G0 E-16,1745 F500					; retract
G0 Z3,5 F500
G0 X226 Y212 F20000				; move to waste bin
G0 Z2 F500
G0 E16,1745 F2500					; extrude cleaning solution
G4 P300						;pause</v>
      </c>
      <c r="N16" s="71" t="str">
        <f>IF(calc3!I16=TRUE,
      CHAR(10)&amp;
      "; Spot No."&amp;B16&amp;
      CHAR(10)&amp;
             IF(K16="", "", K16)&amp;                        REPLACE(N("rack"),1,1,"")&amp;CHAR(10)&amp;
             IF(calc2!$A$5="","",calc2!$A$5)&amp;        REPLACE(N("retraction"),1,1,"")&amp;CHAR(10)&amp;
             IF(L16="", "", L16)&amp;                           REPLACE(N("TLC"),1,1,"")&amp;CHAR(10)&amp;
             IF(calc2!$B$5="","",calc2!$B$5)&amp;         REPLACE(N("extrusion"),1,1,"")&amp;CHAR(10)&amp;
             IF(calc2!$C$5="","",calc2!$C$5)&amp;         REPLACE(N("waste"),1,1,"")&amp;CHAR(10)&amp;
             IF(M16="", "", M16)&amp;                          REPLACE(N("cleaning process"),1,1,""),
      "")</f>
        <v xml:space="preserve">
; Spot No.15
G0 Z3,5 F500
G0 X81 Y295 F20000				; move to sample No. 15
G0 Z0,05 F500
; sampling
G0 E-10,783 F500					; extrusion in sample
G0 E5 F500						; partially retract in sample
G0 Z3,5 F500
G0 X238,313 Y122 F20000				; move to spot No.15
G0 Z1,35 F500					; decrease z-velocity for contact with TLC
G0 Z0,35 F100
; spotting
G0 E0,0783 F25					; first extrusion per spot
G4 P300						; waiting time on spot after extrusion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 waste
G0 Z3,5 F500
G0 X226 Y212 F20000				; move to waste bin
G0 Z2 F500
G0 E5 F2500						; extrude rest of sample solution
G4 P300						; pause for 100ms
; cleaning process
G0 Z3,5 F500
G0 X191 Y212 F20000				; move to cleaning solution
G0 Z0,05 F500
G0 E-16,1745 F500					; retract
G0 Z3,5 F500
G0 X226 Y212 F20000				; move to waste bin
G0 Z2 F500
G0 E16,1745 F2500					; extrude cleaning solution
G4 P300						;pause</v>
      </c>
    </row>
    <row r="17" spans="1:14" ht="14.65" customHeight="1">
      <c r="A17" s="19">
        <v>16</v>
      </c>
      <c r="B17" s="69">
        <f>IF(calc3!I17=TRUE,
      COUNTIF(calc3!$I$2:I17,TRUE),
      "")</f>
        <v>16</v>
      </c>
      <c r="C17" s="44">
        <f>IF(calc3!I17=TRUE,ROUNDUP(calc3!A17/calc1!$N$3,0),"")</f>
        <v>3</v>
      </c>
      <c r="D17" s="69">
        <f>IF(calc3!I17=TRUE,MOD((calc3!A17-1),calc1!$N$3),"")</f>
        <v>1</v>
      </c>
      <c r="E17" s="23">
        <f>IF(AND(calc3!I17=TRUE,
                         C17&lt;=calc1!$O$3),
      INT((calc3!A17-1)/calc1!$N$3)*calc1!$H$5+calc1!$P$3,
      "")</f>
        <v>81</v>
      </c>
      <c r="F17" s="69">
        <f>IF(AND(calc3!I17=TRUE,
                        C17&lt;=calc1!$O$3),
      IF(
            calc1!$N$3=1,
                  calc1!$Q$3,
            IF(modify!$B$3="s-shape, starting at back left corner",
                  IF(ISODD(C17),
                             calc1!Q$3+D17*calc1!$H$4,
                              calc1!$S$3-D17*calc1!$H$4),
           IF(modify!$B$3="s-shape, starting at front left corner",
                  IF(ISEVEN(C17),
                              calc1!$Q$3+D17*calc1!$H$4,
                              calc1!$S$3-D17*calc1!$H$4),
            IF(modify!$B$3="non alternating, starting at back left corner",
                  calc1!$Q$3+D17*calc1!$H$4,
            IF(modify!$B$3="non alternating, starting at front left corner",
                  calc1!$S$3-D17*calc1!$H$4,
      ""))))),"")</f>
        <v>262.83333333333331</v>
      </c>
      <c r="G17" s="23">
        <f>IF(calc3!I17=TRUE,
      IF(
            calc3!B17&lt;=calc1!$E$3,
                  calc1!$N$6-initialize!$Q$2/(calc1!$E$3+1)*calc3!B17,
            IF(calc3!B17&lt;=calc1!$E$3+calc1!$E$4,
                  calc1!$N$6-initialize!$Q$2/(calc1!$E$4+1)*(calc3!B17-calc1!$E$3)-calc1!$E$2-initialize!$Q$2,
           IF(calc3!B17&lt;=calc1!$H$3,
                  calc1!$N$6-initialize!$Q$2/(calc1!$E$5+1)*(calc3!B17-calc1!$E$3-calc1!$E$4)-(calc1!$E$2+initialize!$Q$2)*2,""))),"")</f>
        <v>234.31299999999999</v>
      </c>
      <c r="H17" s="69">
        <f>IF(AND(calc3!I17=TRUE,
                         ROUNDUP(calc3!A17/calc1!$N$3,0)&lt;=calc1!$O$3),
      calc1!$O$6-initialize!$Q$3,
      "")</f>
        <v>122</v>
      </c>
      <c r="I17" s="23" t="b">
        <f>IF(AND(calc3!A17&gt;0,
                         calc3!A17&lt;=calc1!$H$2),
      IF(MOD(calc3!A17-1,modify!$B$6)=0,
            TRUE,
            FALSE),
      "")</f>
        <v>1</v>
      </c>
      <c r="J17" s="69" t="b">
        <f>IF(I17=TRUE,
      IF(MOD(calc3!B17,modify!$K$2)=0,
            TRUE,
            FALSE),
      "")</f>
        <v>1</v>
      </c>
      <c r="K17" s="20" t="str">
        <f>IF(I17=TRUE,
   "G0"&amp;
      " Z"&amp;calc1!$U$3&amp;
      " F"&amp; initialize!$W$3&amp;
      CHAR(10)&amp;
    "G0"&amp;
      " X"&amp;E17&amp;
      " Y"&amp;F17&amp;
      " F"&amp; initialize!$W$2&amp;
       REPT(CHAR(9),4)&amp;
       "; move to sample No. "&amp;A17&amp;
      CHAR(10)&amp;
   "G0"&amp;
      " Z"&amp;calc1!$T$3&amp;
      " F"&amp;initialize!$W$3,
 "")</f>
        <v>G0 Z3,5 F500
G0 X81 Y262,833333333333 F20000				; move to sample No. 16
G0 Z0,05 F500</v>
      </c>
      <c r="L17" s="71" t="str">
        <f>IF(calc3!I17=TRUE,
   "G0 "&amp;
      "Z"&amp;calc1!$U$3 &amp;
      " F"&amp;initialize!$W$3&amp;
      CHAR(10)&amp;
   "G0"&amp;
      " X"&amp;calc3!G17&amp;
      " Y"&amp;H17&amp;
      " F"&amp;initialize!$W$2&amp;
       REPT(CHAR(9),4)&amp;
       "; move to spot No."&amp;B17&amp;
      CHAR(10)&amp;
   "G0"&amp;
      " Z"&amp;calc1!$P$6+initialize!$Q$4&amp;
      " F"&amp;initialize!$W$3&amp;
       REPT(CHAR(9),5)&amp;
       "; decrease z-velocity for contact with TLC"&amp;
      CHAR(10)&amp;
   "G0"&amp;
      " Z"&amp;calc1!$P$6&amp;
      " F"&amp;initialize!$W$4,
  "")</f>
        <v>G0 Z3,5 F500
G0 X234,313 Y122 F20000				; move to spot No.16
G0 Z1,35 F500					; decrease z-velocity for contact with TLC
G0 Z0,35 F100</v>
      </c>
      <c r="M17" s="20" t="str">
        <f>IF(AND(calc3!J17=TRUE,I18&lt;&gt;"", modify!$K$3&gt;0),
        "; cleaning process"&amp;
         CHAR(10)&amp;
         calc2!$C$8 &amp;
          REPT(
               CHAR(10)&amp;
               calc2!$C$8, modify!$K$3-1),
      "")</f>
        <v>; cleaning process
G0 Z3,5 F500
G0 X191 Y212 F20000				; move to cleaning solution
G0 Z0,05 F500
G0 E-16,1745 F500					; retract
G0 Z3,5 F500
G0 X226 Y212 F20000				; move to waste bin
G0 Z2 F500
G0 E16,1745 F2500					; extrude cleaning solution
G4 P300						;pause</v>
      </c>
      <c r="N17" s="71" t="str">
        <f>IF(calc3!I17=TRUE,
      CHAR(10)&amp;
      "; Spot No."&amp;B17&amp;
      CHAR(10)&amp;
             IF(K17="", "", K17)&amp;                        REPLACE(N("rack"),1,1,"")&amp;CHAR(10)&amp;
             IF(calc2!$A$5="","",calc2!$A$5)&amp;        REPLACE(N("retraction"),1,1,"")&amp;CHAR(10)&amp;
             IF(L17="", "", L17)&amp;                           REPLACE(N("TLC"),1,1,"")&amp;CHAR(10)&amp;
             IF(calc2!$B$5="","",calc2!$B$5)&amp;         REPLACE(N("extrusion"),1,1,"")&amp;CHAR(10)&amp;
             IF(calc2!$C$5="","",calc2!$C$5)&amp;         REPLACE(N("waste"),1,1,"")&amp;CHAR(10)&amp;
             IF(M17="", "", M17)&amp;                          REPLACE(N("cleaning process"),1,1,""),
      "")</f>
        <v xml:space="preserve">
; Spot No.16
G0 Z3,5 F500
G0 X81 Y262,833333333333 F20000				; move to sample No. 16
G0 Z0,05 F500
; sampling
G0 E-10,783 F500					; extrusion in sample
G0 E5 F500						; partially retract in sample
G0 Z3,5 F500
G0 X234,313 Y122 F20000				; move to spot No.16
G0 Z1,35 F500					; decrease z-velocity for contact with TLC
G0 Z0,35 F100
; spotting
G0 E0,0783 F25					; first extrusion per spot
G4 P300						; waiting time on spot after extrusion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 waste
G0 Z3,5 F500
G0 X226 Y212 F20000				; move to waste bin
G0 Z2 F500
G0 E5 F2500						; extrude rest of sample solution
G4 P300						; pause for 100ms
; cleaning process
G0 Z3,5 F500
G0 X191 Y212 F20000				; move to cleaning solution
G0 Z0,05 F500
G0 E-16,1745 F500					; retract
G0 Z3,5 F500
G0 X226 Y212 F20000				; move to waste bin
G0 Z2 F500
G0 E16,1745 F2500					; extrude cleaning solution
G4 P300						;pause</v>
      </c>
    </row>
    <row r="18" spans="1:14" ht="14.65" customHeight="1">
      <c r="A18" s="19">
        <v>17</v>
      </c>
      <c r="B18" s="69">
        <f>IF(calc3!I18=TRUE,
      COUNTIF(calc3!$I$2:I18,TRUE),
      "")</f>
        <v>17</v>
      </c>
      <c r="C18" s="44">
        <f>IF(calc3!I18=TRUE,ROUNDUP(calc3!A18/calc1!$N$3,0),"")</f>
        <v>3</v>
      </c>
      <c r="D18" s="69">
        <f>IF(calc3!I18=TRUE,MOD((calc3!A18-1),calc1!$N$3),"")</f>
        <v>2</v>
      </c>
      <c r="E18" s="23">
        <f>IF(AND(calc3!I18=TRUE,
                         C18&lt;=calc1!$O$3),
      INT((calc3!A18-1)/calc1!$N$3)*calc1!$H$5+calc1!$P$3,
      "")</f>
        <v>81</v>
      </c>
      <c r="F18" s="69">
        <f>IF(AND(calc3!I18=TRUE,
                        C18&lt;=calc1!$O$3),
      IF(
            calc1!$N$3=1,
                  calc1!$Q$3,
            IF(modify!$B$3="s-shape, starting at back left corner",
                  IF(ISODD(C18),
                             calc1!Q$3+D18*calc1!$H$4,
                              calc1!$S$3-D18*calc1!$H$4),
           IF(modify!$B$3="s-shape, starting at front left corner",
                  IF(ISEVEN(C18),
                              calc1!$Q$3+D18*calc1!$H$4,
                              calc1!$S$3-D18*calc1!$H$4),
            IF(modify!$B$3="non alternating, starting at back left corner",
                  calc1!$Q$3+D18*calc1!$H$4,
            IF(modify!$B$3="non alternating, starting at front left corner",
                  calc1!$S$3-D18*calc1!$H$4,
      ""))))),"")</f>
        <v>230.66666666666669</v>
      </c>
      <c r="G18" s="23">
        <f>IF(calc3!I18=TRUE,
      IF(
            calc3!B18&lt;=calc1!$E$3,
                  calc1!$N$6-initialize!$Q$2/(calc1!$E$3+1)*calc3!B18,
            IF(calc3!B18&lt;=calc1!$E$3+calc1!$E$4,
                  calc1!$N$6-initialize!$Q$2/(calc1!$E$4+1)*(calc3!B18-calc1!$E$3)-calc1!$E$2-initialize!$Q$2,
           IF(calc3!B18&lt;=calc1!$H$3,
                  calc1!$N$6-initialize!$Q$2/(calc1!$E$5+1)*(calc3!B18-calc1!$E$3-calc1!$E$4)-(calc1!$E$2+initialize!$Q$2)*2,""))),"")</f>
        <v>230.31299999999999</v>
      </c>
      <c r="H18" s="69">
        <f>IF(AND(calc3!I18=TRUE,
                         ROUNDUP(calc3!A18/calc1!$N$3,0)&lt;=calc1!$O$3),
      calc1!$O$6-initialize!$Q$3,
      "")</f>
        <v>122</v>
      </c>
      <c r="I18" s="23" t="b">
        <f>IF(AND(calc3!A18&gt;0,
                         calc3!A18&lt;=calc1!$H$2),
      IF(MOD(calc3!A18-1,modify!$B$6)=0,
            TRUE,
            FALSE),
      "")</f>
        <v>1</v>
      </c>
      <c r="J18" s="69" t="b">
        <f>IF(I18=TRUE,
      IF(MOD(calc3!B18,modify!$K$2)=0,
            TRUE,
            FALSE),
      "")</f>
        <v>1</v>
      </c>
      <c r="K18" s="20" t="str">
        <f>IF(I18=TRUE,
   "G0"&amp;
      " Z"&amp;calc1!$U$3&amp;
      " F"&amp; initialize!$W$3&amp;
      CHAR(10)&amp;
    "G0"&amp;
      " X"&amp;E18&amp;
      " Y"&amp;F18&amp;
      " F"&amp; initialize!$W$2&amp;
       REPT(CHAR(9),4)&amp;
       "; move to sample No. "&amp;A18&amp;
      CHAR(10)&amp;
   "G0"&amp;
      " Z"&amp;calc1!$T$3&amp;
      " F"&amp;initialize!$W$3,
 "")</f>
        <v>G0 Z3,5 F500
G0 X81 Y230,666666666667 F20000				; move to sample No. 17
G0 Z0,05 F500</v>
      </c>
      <c r="L18" s="71" t="str">
        <f>IF(calc3!I18=TRUE,
   "G0 "&amp;
      "Z"&amp;calc1!$U$3 &amp;
      " F"&amp;initialize!$W$3&amp;
      CHAR(10)&amp;
   "G0"&amp;
      " X"&amp;calc3!G18&amp;
      " Y"&amp;H18&amp;
      " F"&amp;initialize!$W$2&amp;
       REPT(CHAR(9),4)&amp;
       "; move to spot No."&amp;B18&amp;
      CHAR(10)&amp;
   "G0"&amp;
      " Z"&amp;calc1!$P$6+initialize!$Q$4&amp;
      " F"&amp;initialize!$W$3&amp;
       REPT(CHAR(9),5)&amp;
       "; decrease z-velocity for contact with TLC"&amp;
      CHAR(10)&amp;
   "G0"&amp;
      " Z"&amp;calc1!$P$6&amp;
      " F"&amp;initialize!$W$4,
  "")</f>
        <v>G0 Z3,5 F500
G0 X230,313 Y122 F20000				; move to spot No.17
G0 Z1,35 F500					; decrease z-velocity for contact with TLC
G0 Z0,35 F100</v>
      </c>
      <c r="M18" s="20" t="str">
        <f>IF(AND(calc3!J18=TRUE,I19&lt;&gt;"", modify!$K$3&gt;0),
        "; cleaning process"&amp;
         CHAR(10)&amp;
         calc2!$C$8 &amp;
          REPT(
               CHAR(10)&amp;
               calc2!$C$8, modify!$K$3-1),
      "")</f>
        <v>; cleaning process
G0 Z3,5 F500
G0 X191 Y212 F20000				; move to cleaning solution
G0 Z0,05 F500
G0 E-16,1745 F500					; retract
G0 Z3,5 F500
G0 X226 Y212 F20000				; move to waste bin
G0 Z2 F500
G0 E16,1745 F2500					; extrude cleaning solution
G4 P300						;pause</v>
      </c>
      <c r="N18" s="71" t="str">
        <f>IF(calc3!I18=TRUE,
      CHAR(10)&amp;
      "; Spot No."&amp;B18&amp;
      CHAR(10)&amp;
             IF(K18="", "", K18)&amp;                        REPLACE(N("rack"),1,1,"")&amp;CHAR(10)&amp;
             IF(calc2!$A$5="","",calc2!$A$5)&amp;        REPLACE(N("retraction"),1,1,"")&amp;CHAR(10)&amp;
             IF(L18="", "", L18)&amp;                           REPLACE(N("TLC"),1,1,"")&amp;CHAR(10)&amp;
             IF(calc2!$B$5="","",calc2!$B$5)&amp;         REPLACE(N("extrusion"),1,1,"")&amp;CHAR(10)&amp;
             IF(calc2!$C$5="","",calc2!$C$5)&amp;         REPLACE(N("waste"),1,1,"")&amp;CHAR(10)&amp;
             IF(M18="", "", M18)&amp;                          REPLACE(N("cleaning process"),1,1,""),
      "")</f>
        <v xml:space="preserve">
; Spot No.17
G0 Z3,5 F500
G0 X81 Y230,666666666667 F20000				; move to sample No. 17
G0 Z0,05 F500
; sampling
G0 E-10,783 F500					; extrusion in sample
G0 E5 F500						; partially retract in sample
G0 Z3,5 F500
G0 X230,313 Y122 F20000				; move to spot No.17
G0 Z1,35 F500					; decrease z-velocity for contact with TLC
G0 Z0,35 F100
; spotting
G0 E0,0783 F25					; first extrusion per spot
G4 P300						; waiting time on spot after extrusion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 waste
G0 Z3,5 F500
G0 X226 Y212 F20000				; move to waste bin
G0 Z2 F500
G0 E5 F2500						; extrude rest of sample solution
G4 P300						; pause for 100ms
; cleaning process
G0 Z3,5 F500
G0 X191 Y212 F20000				; move to cleaning solution
G0 Z0,05 F500
G0 E-16,1745 F500					; retract
G0 Z3,5 F500
G0 X226 Y212 F20000				; move to waste bin
G0 Z2 F500
G0 E16,1745 F2500					; extrude cleaning solution
G4 P300						;pause</v>
      </c>
    </row>
    <row r="19" spans="1:14" ht="14.65" customHeight="1">
      <c r="A19" s="19">
        <v>18</v>
      </c>
      <c r="B19" s="69">
        <f>IF(calc3!I19=TRUE,
      COUNTIF(calc3!$I$2:I19,TRUE),
      "")</f>
        <v>18</v>
      </c>
      <c r="C19" s="44">
        <f>IF(calc3!I19=TRUE,ROUNDUP(calc3!A19/calc1!$N$3,0),"")</f>
        <v>3</v>
      </c>
      <c r="D19" s="69">
        <f>IF(calc3!I19=TRUE,MOD((calc3!A19-1),calc1!$N$3),"")</f>
        <v>3</v>
      </c>
      <c r="E19" s="23">
        <f>IF(AND(calc3!I19=TRUE,
                         C19&lt;=calc1!$O$3),
      INT((calc3!A19-1)/calc1!$N$3)*calc1!$H$5+calc1!$P$3,
      "")</f>
        <v>81</v>
      </c>
      <c r="F19" s="69">
        <f>IF(AND(calc3!I19=TRUE,
                        C19&lt;=calc1!$O$3),
      IF(
            calc1!$N$3=1,
                  calc1!$Q$3,
            IF(modify!$B$3="s-shape, starting at back left corner",
                  IF(ISODD(C19),
                             calc1!Q$3+D19*calc1!$H$4,
                              calc1!$S$3-D19*calc1!$H$4),
           IF(modify!$B$3="s-shape, starting at front left corner",
                  IF(ISEVEN(C19),
                              calc1!$Q$3+D19*calc1!$H$4,
                              calc1!$S$3-D19*calc1!$H$4),
            IF(modify!$B$3="non alternating, starting at back left corner",
                  calc1!$Q$3+D19*calc1!$H$4,
            IF(modify!$B$3="non alternating, starting at front left corner",
                  calc1!$S$3-D19*calc1!$H$4,
      ""))))),"")</f>
        <v>198.5</v>
      </c>
      <c r="G19" s="23">
        <f>IF(calc3!I19=TRUE,
      IF(
            calc3!B19&lt;=calc1!$E$3,
                  calc1!$N$6-initialize!$Q$2/(calc1!$E$3+1)*calc3!B19,
            IF(calc3!B19&lt;=calc1!$E$3+calc1!$E$4,
                  calc1!$N$6-initialize!$Q$2/(calc1!$E$4+1)*(calc3!B19-calc1!$E$3)-calc1!$E$2-initialize!$Q$2,
           IF(calc3!B19&lt;=calc1!$H$3,
                  calc1!$N$6-initialize!$Q$2/(calc1!$E$5+1)*(calc3!B19-calc1!$E$3-calc1!$E$4)-(calc1!$E$2+initialize!$Q$2)*2,""))),"")</f>
        <v>226.31299999999999</v>
      </c>
      <c r="H19" s="69">
        <f>IF(AND(calc3!I19=TRUE,
                         ROUNDUP(calc3!A19/calc1!$N$3,0)&lt;=calc1!$O$3),
      calc1!$O$6-initialize!$Q$3,
      "")</f>
        <v>122</v>
      </c>
      <c r="I19" s="23" t="b">
        <f>IF(AND(calc3!A19&gt;0,
                         calc3!A19&lt;=calc1!$H$2),
      IF(MOD(calc3!A19-1,modify!$B$6)=0,
            TRUE,
            FALSE),
      "")</f>
        <v>1</v>
      </c>
      <c r="J19" s="69" t="b">
        <f>IF(I19=TRUE,
      IF(MOD(calc3!B19,modify!$K$2)=0,
            TRUE,
            FALSE),
      "")</f>
        <v>1</v>
      </c>
      <c r="K19" s="20" t="str">
        <f>IF(I19=TRUE,
   "G0"&amp;
      " Z"&amp;calc1!$U$3&amp;
      " F"&amp; initialize!$W$3&amp;
      CHAR(10)&amp;
    "G0"&amp;
      " X"&amp;E19&amp;
      " Y"&amp;F19&amp;
      " F"&amp; initialize!$W$2&amp;
       REPT(CHAR(9),4)&amp;
       "; move to sample No. "&amp;A19&amp;
      CHAR(10)&amp;
   "G0"&amp;
      " Z"&amp;calc1!$T$3&amp;
      " F"&amp;initialize!$W$3,
 "")</f>
        <v>G0 Z3,5 F500
G0 X81 Y198,5 F20000				; move to sample No. 18
G0 Z0,05 F500</v>
      </c>
      <c r="L19" s="71" t="str">
        <f>IF(calc3!I19=TRUE,
   "G0 "&amp;
      "Z"&amp;calc1!$U$3 &amp;
      " F"&amp;initialize!$W$3&amp;
      CHAR(10)&amp;
   "G0"&amp;
      " X"&amp;calc3!G19&amp;
      " Y"&amp;H19&amp;
      " F"&amp;initialize!$W$2&amp;
       REPT(CHAR(9),4)&amp;
       "; move to spot No."&amp;B19&amp;
      CHAR(10)&amp;
   "G0"&amp;
      " Z"&amp;calc1!$P$6+initialize!$Q$4&amp;
      " F"&amp;initialize!$W$3&amp;
       REPT(CHAR(9),5)&amp;
       "; decrease z-velocity for contact with TLC"&amp;
      CHAR(10)&amp;
   "G0"&amp;
      " Z"&amp;calc1!$P$6&amp;
      " F"&amp;initialize!$W$4,
  "")</f>
        <v>G0 Z3,5 F500
G0 X226,313 Y122 F20000				; move to spot No.18
G0 Z1,35 F500					; decrease z-velocity for contact with TLC
G0 Z0,35 F100</v>
      </c>
      <c r="M19" s="20" t="str">
        <f>IF(AND(calc3!J19=TRUE,I20&lt;&gt;"", modify!$K$3&gt;0),
        "; cleaning process"&amp;
         CHAR(10)&amp;
         calc2!$C$8 &amp;
          REPT(
               CHAR(10)&amp;
               calc2!$C$8, modify!$K$3-1),
      "")</f>
        <v>; cleaning process
G0 Z3,5 F500
G0 X191 Y212 F20000				; move to cleaning solution
G0 Z0,05 F500
G0 E-16,1745 F500					; retract
G0 Z3,5 F500
G0 X226 Y212 F20000				; move to waste bin
G0 Z2 F500
G0 E16,1745 F2500					; extrude cleaning solution
G4 P300						;pause</v>
      </c>
      <c r="N19" s="71" t="str">
        <f>IF(calc3!I19=TRUE,
      CHAR(10)&amp;
      "; Spot No."&amp;B19&amp;
      CHAR(10)&amp;
             IF(K19="", "", K19)&amp;                        REPLACE(N("rack"),1,1,"")&amp;CHAR(10)&amp;
             IF(calc2!$A$5="","",calc2!$A$5)&amp;        REPLACE(N("retraction"),1,1,"")&amp;CHAR(10)&amp;
             IF(L19="", "", L19)&amp;                           REPLACE(N("TLC"),1,1,"")&amp;CHAR(10)&amp;
             IF(calc2!$B$5="","",calc2!$B$5)&amp;         REPLACE(N("extrusion"),1,1,"")&amp;CHAR(10)&amp;
             IF(calc2!$C$5="","",calc2!$C$5)&amp;         REPLACE(N("waste"),1,1,"")&amp;CHAR(10)&amp;
             IF(M19="", "", M19)&amp;                          REPLACE(N("cleaning process"),1,1,""),
      "")</f>
        <v xml:space="preserve">
; Spot No.18
G0 Z3,5 F500
G0 X81 Y198,5 F20000				; move to sample No. 18
G0 Z0,05 F500
; sampling
G0 E-10,783 F500					; extrusion in sample
G0 E5 F500						; partially retract in sample
G0 Z3,5 F500
G0 X226,313 Y122 F20000				; move to spot No.18
G0 Z1,35 F500					; decrease z-velocity for contact with TLC
G0 Z0,35 F100
; spotting
G0 E0,0783 F25					; first extrusion per spot
G4 P300						; waiting time on spot after extrusion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 waste
G0 Z3,5 F500
G0 X226 Y212 F20000				; move to waste bin
G0 Z2 F500
G0 E5 F2500						; extrude rest of sample solution
G4 P300						; pause for 100ms
; cleaning process
G0 Z3,5 F500
G0 X191 Y212 F20000				; move to cleaning solution
G0 Z0,05 F500
G0 E-16,1745 F500					; retract
G0 Z3,5 F500
G0 X226 Y212 F20000				; move to waste bin
G0 Z2 F500
G0 E16,1745 F2500					; extrude cleaning solution
G4 P300						;pause</v>
      </c>
    </row>
    <row r="20" spans="1:14" ht="14.65" customHeight="1">
      <c r="A20" s="19">
        <v>19</v>
      </c>
      <c r="B20" s="69">
        <f>IF(calc3!I20=TRUE,
      COUNTIF(calc3!$I$2:I20,TRUE),
      "")</f>
        <v>19</v>
      </c>
      <c r="C20" s="44">
        <f>IF(calc3!I20=TRUE,ROUNDUP(calc3!A20/calc1!$N$3,0),"")</f>
        <v>3</v>
      </c>
      <c r="D20" s="69">
        <f>IF(calc3!I20=TRUE,MOD((calc3!A20-1),calc1!$N$3),"")</f>
        <v>4</v>
      </c>
      <c r="E20" s="23">
        <f>IF(AND(calc3!I20=TRUE,
                         C20&lt;=calc1!$O$3),
      INT((calc3!A20-1)/calc1!$N$3)*calc1!$H$5+calc1!$P$3,
      "")</f>
        <v>81</v>
      </c>
      <c r="F20" s="69">
        <f>IF(AND(calc3!I20=TRUE,
                        C20&lt;=calc1!$O$3),
      IF(
            calc1!$N$3=1,
                  calc1!$Q$3,
            IF(modify!$B$3="s-shape, starting at back left corner",
                  IF(ISODD(C20),
                             calc1!Q$3+D20*calc1!$H$4,
                              calc1!$S$3-D20*calc1!$H$4),
           IF(modify!$B$3="s-shape, starting at front left corner",
                  IF(ISEVEN(C20),
                              calc1!$Q$3+D20*calc1!$H$4,
                              calc1!$S$3-D20*calc1!$H$4),
            IF(modify!$B$3="non alternating, starting at back left corner",
                  calc1!$Q$3+D20*calc1!$H$4,
            IF(modify!$B$3="non alternating, starting at front left corner",
                  calc1!$S$3-D20*calc1!$H$4,
      ""))))),"")</f>
        <v>166.33333333333334</v>
      </c>
      <c r="G20" s="23">
        <f>IF(calc3!I20=TRUE,
      IF(
            calc3!B20&lt;=calc1!$E$3,
                  calc1!$N$6-initialize!$Q$2/(calc1!$E$3+1)*calc3!B20,
            IF(calc3!B20&lt;=calc1!$E$3+calc1!$E$4,
                  calc1!$N$6-initialize!$Q$2/(calc1!$E$4+1)*(calc3!B20-calc1!$E$3)-calc1!$E$2-initialize!$Q$2,
           IF(calc3!B20&lt;=calc1!$H$3,
                  calc1!$N$6-initialize!$Q$2/(calc1!$E$5+1)*(calc3!B20-calc1!$E$3-calc1!$E$4)-(calc1!$E$2+initialize!$Q$2)*2,""))),"")</f>
        <v>222.31299999999999</v>
      </c>
      <c r="H20" s="69">
        <f>IF(AND(calc3!I20=TRUE,
                         ROUNDUP(calc3!A20/calc1!$N$3,0)&lt;=calc1!$O$3),
      calc1!$O$6-initialize!$Q$3,
      "")</f>
        <v>122</v>
      </c>
      <c r="I20" s="23" t="b">
        <f>IF(AND(calc3!A20&gt;0,
                         calc3!A20&lt;=calc1!$H$2),
      IF(MOD(calc3!A20-1,modify!$B$6)=0,
            TRUE,
            FALSE),
      "")</f>
        <v>1</v>
      </c>
      <c r="J20" s="69" t="b">
        <f>IF(I20=TRUE,
      IF(MOD(calc3!B20,modify!$K$2)=0,
            TRUE,
            FALSE),
      "")</f>
        <v>1</v>
      </c>
      <c r="K20" s="20" t="str">
        <f>IF(I20=TRUE,
   "G0"&amp;
      " Z"&amp;calc1!$U$3&amp;
      " F"&amp; initialize!$W$3&amp;
      CHAR(10)&amp;
    "G0"&amp;
      " X"&amp;E20&amp;
      " Y"&amp;F20&amp;
      " F"&amp; initialize!$W$2&amp;
       REPT(CHAR(9),4)&amp;
       "; move to sample No. "&amp;A20&amp;
      CHAR(10)&amp;
   "G0"&amp;
      " Z"&amp;calc1!$T$3&amp;
      " F"&amp;initialize!$W$3,
 "")</f>
        <v>G0 Z3,5 F500
G0 X81 Y166,333333333333 F20000				; move to sample No. 19
G0 Z0,05 F500</v>
      </c>
      <c r="L20" s="71" t="str">
        <f>IF(calc3!I20=TRUE,
   "G0 "&amp;
      "Z"&amp;calc1!$U$3 &amp;
      " F"&amp;initialize!$W$3&amp;
      CHAR(10)&amp;
   "G0"&amp;
      " X"&amp;calc3!G20&amp;
      " Y"&amp;H20&amp;
      " F"&amp;initialize!$W$2&amp;
       REPT(CHAR(9),4)&amp;
       "; move to spot No."&amp;B20&amp;
      CHAR(10)&amp;
   "G0"&amp;
      " Z"&amp;calc1!$P$6+initialize!$Q$4&amp;
      " F"&amp;initialize!$W$3&amp;
       REPT(CHAR(9),5)&amp;
       "; decrease z-velocity for contact with TLC"&amp;
      CHAR(10)&amp;
   "G0"&amp;
      " Z"&amp;calc1!$P$6&amp;
      " F"&amp;initialize!$W$4,
  "")</f>
        <v>G0 Z3,5 F500
G0 X222,313 Y122 F20000				; move to spot No.19
G0 Z1,35 F500					; decrease z-velocity for contact with TLC
G0 Z0,35 F100</v>
      </c>
      <c r="M20" s="20" t="str">
        <f>IF(AND(calc3!J20=TRUE,I21&lt;&gt;"", modify!$K$3&gt;0),
        "; cleaning process"&amp;
         CHAR(10)&amp;
         calc2!$C$8 &amp;
          REPT(
               CHAR(10)&amp;
               calc2!$C$8, modify!$K$3-1),
      "")</f>
        <v>; cleaning process
G0 Z3,5 F500
G0 X191 Y212 F20000				; move to cleaning solution
G0 Z0,05 F500
G0 E-16,1745 F500					; retract
G0 Z3,5 F500
G0 X226 Y212 F20000				; move to waste bin
G0 Z2 F500
G0 E16,1745 F2500					; extrude cleaning solution
G4 P300						;pause</v>
      </c>
      <c r="N20" s="71" t="str">
        <f>IF(calc3!I20=TRUE,
      CHAR(10)&amp;
      "; Spot No."&amp;B20&amp;
      CHAR(10)&amp;
             IF(K20="", "", K20)&amp;                        REPLACE(N("rack"),1,1,"")&amp;CHAR(10)&amp;
             IF(calc2!$A$5="","",calc2!$A$5)&amp;        REPLACE(N("retraction"),1,1,"")&amp;CHAR(10)&amp;
             IF(L20="", "", L20)&amp;                           REPLACE(N("TLC"),1,1,"")&amp;CHAR(10)&amp;
             IF(calc2!$B$5="","",calc2!$B$5)&amp;         REPLACE(N("extrusion"),1,1,"")&amp;CHAR(10)&amp;
             IF(calc2!$C$5="","",calc2!$C$5)&amp;         REPLACE(N("waste"),1,1,"")&amp;CHAR(10)&amp;
             IF(M20="", "", M20)&amp;                          REPLACE(N("cleaning process"),1,1,""),
      "")</f>
        <v xml:space="preserve">
; Spot No.19
G0 Z3,5 F500
G0 X81 Y166,333333333333 F20000				; move to sample No. 19
G0 Z0,05 F500
; sampling
G0 E-10,783 F500					; extrusion in sample
G0 E5 F500						; partially retract in sample
G0 Z3,5 F500
G0 X222,313 Y122 F20000				; move to spot No.19
G0 Z1,35 F500					; decrease z-velocity for contact with TLC
G0 Z0,35 F100
; spotting
G0 E0,0783 F25					; first extrusion per spot
G4 P300						; waiting time on spot after extrusion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 waste
G0 Z3,5 F500
G0 X226 Y212 F20000				; move to waste bin
G0 Z2 F500
G0 E5 F2500						; extrude rest of sample solution
G4 P300						; pause for 100ms
; cleaning process
G0 Z3,5 F500
G0 X191 Y212 F20000				; move to cleaning solution
G0 Z0,05 F500
G0 E-16,1745 F500					; retract
G0 Z3,5 F500
G0 X226 Y212 F20000				; move to waste bin
G0 Z2 F500
G0 E16,1745 F2500					; extrude cleaning solution
G4 P300						;pause</v>
      </c>
    </row>
    <row r="21" spans="1:14" ht="14.65" customHeight="1">
      <c r="A21" s="19">
        <v>20</v>
      </c>
      <c r="B21" s="69">
        <f>IF(calc3!I21=TRUE,
      COUNTIF(calc3!$I$2:I21,TRUE),
      "")</f>
        <v>20</v>
      </c>
      <c r="C21" s="44">
        <f>IF(calc3!I21=TRUE,ROUNDUP(calc3!A21/calc1!$N$3,0),"")</f>
        <v>3</v>
      </c>
      <c r="D21" s="69">
        <f>IF(calc3!I21=TRUE,MOD((calc3!A21-1),calc1!$N$3),"")</f>
        <v>5</v>
      </c>
      <c r="E21" s="23">
        <f>IF(AND(calc3!I21=TRUE,
                         C21&lt;=calc1!$O$3),
      INT((calc3!A21-1)/calc1!$N$3)*calc1!$H$5+calc1!$P$3,
      "")</f>
        <v>81</v>
      </c>
      <c r="F21" s="69">
        <f>IF(AND(calc3!I21=TRUE,
                        C21&lt;=calc1!$O$3),
      IF(
            calc1!$N$3=1,
                  calc1!$Q$3,
            IF(modify!$B$3="s-shape, starting at back left corner",
                  IF(ISODD(C21),
                             calc1!Q$3+D21*calc1!$H$4,
                              calc1!$S$3-D21*calc1!$H$4),
           IF(modify!$B$3="s-shape, starting at front left corner",
                  IF(ISEVEN(C21),
                              calc1!$Q$3+D21*calc1!$H$4,
                              calc1!$S$3-D21*calc1!$H$4),
            IF(modify!$B$3="non alternating, starting at back left corner",
                  calc1!$Q$3+D21*calc1!$H$4,
            IF(modify!$B$3="non alternating, starting at front left corner",
                  calc1!$S$3-D21*calc1!$H$4,
      ""))))),"")</f>
        <v>134.16666666666669</v>
      </c>
      <c r="G21" s="23">
        <f>IF(calc3!I21=TRUE,
      IF(
            calc3!B21&lt;=calc1!$E$3,
                  calc1!$N$6-initialize!$Q$2/(calc1!$E$3+1)*calc3!B21,
            IF(calc3!B21&lt;=calc1!$E$3+calc1!$E$4,
                  calc1!$N$6-initialize!$Q$2/(calc1!$E$4+1)*(calc3!B21-calc1!$E$3)-calc1!$E$2-initialize!$Q$2,
           IF(calc3!B21&lt;=calc1!$H$3,
                  calc1!$N$6-initialize!$Q$2/(calc1!$E$5+1)*(calc3!B21-calc1!$E$3-calc1!$E$4)-(calc1!$E$2+initialize!$Q$2)*2,""))),"")</f>
        <v>211.626</v>
      </c>
      <c r="H21" s="69">
        <f>IF(AND(calc3!I21=TRUE,
                         ROUNDUP(calc3!A21/calc1!$N$3,0)&lt;=calc1!$O$3),
      calc1!$O$6-initialize!$Q$3,
      "")</f>
        <v>122</v>
      </c>
      <c r="I21" s="23" t="b">
        <f>IF(AND(calc3!A21&gt;0,
                         calc3!A21&lt;=calc1!$H$2),
      IF(MOD(calc3!A21-1,modify!$B$6)=0,
            TRUE,
            FALSE),
      "")</f>
        <v>1</v>
      </c>
      <c r="J21" s="69" t="b">
        <f>IF(I21=TRUE,
      IF(MOD(calc3!B21,modify!$K$2)=0,
            TRUE,
            FALSE),
      "")</f>
        <v>1</v>
      </c>
      <c r="K21" s="20" t="str">
        <f>IF(I21=TRUE,
   "G0"&amp;
      " Z"&amp;calc1!$U$3&amp;
      " F"&amp; initialize!$W$3&amp;
      CHAR(10)&amp;
    "G0"&amp;
      " X"&amp;E21&amp;
      " Y"&amp;F21&amp;
      " F"&amp; initialize!$W$2&amp;
       REPT(CHAR(9),4)&amp;
       "; move to sample No. "&amp;A21&amp;
      CHAR(10)&amp;
   "G0"&amp;
      " Z"&amp;calc1!$T$3&amp;
      " F"&amp;initialize!$W$3,
 "")</f>
        <v>G0 Z3,5 F500
G0 X81 Y134,166666666667 F20000				; move to sample No. 20
G0 Z0,05 F500</v>
      </c>
      <c r="L21" s="71" t="str">
        <f>IF(calc3!I21=TRUE,
   "G0 "&amp;
      "Z"&amp;calc1!$U$3 &amp;
      " F"&amp;initialize!$W$3&amp;
      CHAR(10)&amp;
   "G0"&amp;
      " X"&amp;calc3!G21&amp;
      " Y"&amp;H21&amp;
      " F"&amp;initialize!$W$2&amp;
       REPT(CHAR(9),4)&amp;
       "; move to spot No."&amp;B21&amp;
      CHAR(10)&amp;
   "G0"&amp;
      " Z"&amp;calc1!$P$6+initialize!$Q$4&amp;
      " F"&amp;initialize!$W$3&amp;
       REPT(CHAR(9),5)&amp;
       "; decrease z-velocity for contact with TLC"&amp;
      CHAR(10)&amp;
   "G0"&amp;
      " Z"&amp;calc1!$P$6&amp;
      " F"&amp;initialize!$W$4,
  "")</f>
        <v>G0 Z3,5 F500
G0 X211,626 Y122 F20000				; move to spot No.20
G0 Z1,35 F500					; decrease z-velocity for contact with TLC
G0 Z0,35 F100</v>
      </c>
      <c r="M21" s="20" t="str">
        <f>IF(AND(calc3!J21=TRUE,I22&lt;&gt;"", modify!$K$3&gt;0),
        "; cleaning process"&amp;
         CHAR(10)&amp;
         calc2!$C$8 &amp;
          REPT(
               CHAR(10)&amp;
               calc2!$C$8, modify!$K$3-1),
      "")</f>
        <v>; cleaning process
G0 Z3,5 F500
G0 X191 Y212 F20000				; move to cleaning solution
G0 Z0,05 F500
G0 E-16,1745 F500					; retract
G0 Z3,5 F500
G0 X226 Y212 F20000				; move to waste bin
G0 Z2 F500
G0 E16,1745 F2500					; extrude cleaning solution
G4 P300						;pause</v>
      </c>
      <c r="N21" s="71" t="str">
        <f>IF(calc3!I21=TRUE,
      CHAR(10)&amp;
      "; Spot No."&amp;B21&amp;
      CHAR(10)&amp;
             IF(K21="", "", K21)&amp;                        REPLACE(N("rack"),1,1,"")&amp;CHAR(10)&amp;
             IF(calc2!$A$5="","",calc2!$A$5)&amp;        REPLACE(N("retraction"),1,1,"")&amp;CHAR(10)&amp;
             IF(L21="", "", L21)&amp;                           REPLACE(N("TLC"),1,1,"")&amp;CHAR(10)&amp;
             IF(calc2!$B$5="","",calc2!$B$5)&amp;         REPLACE(N("extrusion"),1,1,"")&amp;CHAR(10)&amp;
             IF(calc2!$C$5="","",calc2!$C$5)&amp;         REPLACE(N("waste"),1,1,"")&amp;CHAR(10)&amp;
             IF(M21="", "", M21)&amp;                          REPLACE(N("cleaning process"),1,1,""),
      "")</f>
        <v xml:space="preserve">
; Spot No.20
G0 Z3,5 F500
G0 X81 Y134,166666666667 F20000				; move to sample No. 20
G0 Z0,05 F500
; sampling
G0 E-10,783 F500					; extrusion in sample
G0 E5 F500						; partially retract in sample
G0 Z3,5 F500
G0 X211,626 Y122 F20000				; move to spot No.20
G0 Z1,35 F500					; decrease z-velocity for contact with TLC
G0 Z0,35 F100
; spotting
G0 E0,0783 F25					; first extrusion per spot
G4 P300						; waiting time on spot after extrusion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 waste
G0 Z3,5 F500
G0 X226 Y212 F20000				; move to waste bin
G0 Z2 F500
G0 E5 F2500						; extrude rest of sample solution
G4 P300						; pause for 100ms
; cleaning process
G0 Z3,5 F500
G0 X191 Y212 F20000				; move to cleaning solution
G0 Z0,05 F500
G0 E-16,1745 F500					; retract
G0 Z3,5 F500
G0 X226 Y212 F20000				; move to waste bin
G0 Z2 F500
G0 E16,1745 F2500					; extrude cleaning solution
G4 P300						;pause</v>
      </c>
    </row>
    <row r="22" spans="1:14" ht="14.65" customHeight="1">
      <c r="A22" s="19">
        <v>21</v>
      </c>
      <c r="B22" s="69">
        <f>IF(calc3!I22=TRUE,
      COUNTIF(calc3!$I$2:I22,TRUE),
      "")</f>
        <v>21</v>
      </c>
      <c r="C22" s="44">
        <f>IF(calc3!I22=TRUE,ROUNDUP(calc3!A22/calc1!$N$3,0),"")</f>
        <v>3</v>
      </c>
      <c r="D22" s="69">
        <f>IF(calc3!I22=TRUE,MOD((calc3!A22-1),calc1!$N$3),"")</f>
        <v>6</v>
      </c>
      <c r="E22" s="23">
        <f>IF(AND(calc3!I22=TRUE,
                         C22&lt;=calc1!$O$3),
      INT((calc3!A22-1)/calc1!$N$3)*calc1!$H$5+calc1!$P$3,
      "")</f>
        <v>81</v>
      </c>
      <c r="F22" s="69">
        <f>IF(AND(calc3!I22=TRUE,
                        C22&lt;=calc1!$O$3),
      IF(
            calc1!$N$3=1,
                  calc1!$Q$3,
            IF(modify!$B$3="s-shape, starting at back left corner",
                  IF(ISODD(C22),
                             calc1!Q$3+D22*calc1!$H$4,
                              calc1!$S$3-D22*calc1!$H$4),
           IF(modify!$B$3="s-shape, starting at front left corner",
                  IF(ISEVEN(C22),
                              calc1!$Q$3+D22*calc1!$H$4,
                              calc1!$S$3-D22*calc1!$H$4),
            IF(modify!$B$3="non alternating, starting at back left corner",
                  calc1!$Q$3+D22*calc1!$H$4,
            IF(modify!$B$3="non alternating, starting at front left corner",
                  calc1!$S$3-D22*calc1!$H$4,
      ""))))),"")</f>
        <v>102</v>
      </c>
      <c r="G22" s="23">
        <f>IF(calc3!I22=TRUE,
      IF(
            calc3!B22&lt;=calc1!$E$3,
                  calc1!$N$6-initialize!$Q$2/(calc1!$E$3+1)*calc3!B22,
            IF(calc3!B22&lt;=calc1!$E$3+calc1!$E$4,
                  calc1!$N$6-initialize!$Q$2/(calc1!$E$4+1)*(calc3!B22-calc1!$E$3)-calc1!$E$2-initialize!$Q$2,
           IF(calc3!B22&lt;=calc1!$H$3,
                  calc1!$N$6-initialize!$Q$2/(calc1!$E$5+1)*(calc3!B22-calc1!$E$3-calc1!$E$4)-(calc1!$E$2+initialize!$Q$2)*2,""))),"")</f>
        <v>207.626</v>
      </c>
      <c r="H22" s="69">
        <f>IF(AND(calc3!I22=TRUE,
                         ROUNDUP(calc3!A22/calc1!$N$3,0)&lt;=calc1!$O$3),
      calc1!$O$6-initialize!$Q$3,
      "")</f>
        <v>122</v>
      </c>
      <c r="I22" s="23" t="b">
        <f>IF(AND(calc3!A22&gt;0,
                         calc3!A22&lt;=calc1!$H$2),
      IF(MOD(calc3!A22-1,modify!$B$6)=0,
            TRUE,
            FALSE),
      "")</f>
        <v>1</v>
      </c>
      <c r="J22" s="69" t="b">
        <f>IF(I22=TRUE,
      IF(MOD(calc3!B22,modify!$K$2)=0,
            TRUE,
            FALSE),
      "")</f>
        <v>1</v>
      </c>
      <c r="K22" s="20" t="str">
        <f>IF(I22=TRUE,
   "G0"&amp;
      " Z"&amp;calc1!$U$3&amp;
      " F"&amp; initialize!$W$3&amp;
      CHAR(10)&amp;
    "G0"&amp;
      " X"&amp;E22&amp;
      " Y"&amp;F22&amp;
      " F"&amp; initialize!$W$2&amp;
       REPT(CHAR(9),4)&amp;
       "; move to sample No. "&amp;A22&amp;
      CHAR(10)&amp;
   "G0"&amp;
      " Z"&amp;calc1!$T$3&amp;
      " F"&amp;initialize!$W$3,
 "")</f>
        <v>G0 Z3,5 F500
G0 X81 Y102 F20000				; move to sample No. 21
G0 Z0,05 F500</v>
      </c>
      <c r="L22" s="71" t="str">
        <f>IF(calc3!I22=TRUE,
   "G0 "&amp;
      "Z"&amp;calc1!$U$3 &amp;
      " F"&amp;initialize!$W$3&amp;
      CHAR(10)&amp;
   "G0"&amp;
      " X"&amp;calc3!G22&amp;
      " Y"&amp;H22&amp;
      " F"&amp;initialize!$W$2&amp;
       REPT(CHAR(9),4)&amp;
       "; move to spot No."&amp;B22&amp;
      CHAR(10)&amp;
   "G0"&amp;
      " Z"&amp;calc1!$P$6+initialize!$Q$4&amp;
      " F"&amp;initialize!$W$3&amp;
       REPT(CHAR(9),5)&amp;
       "; decrease z-velocity for contact with TLC"&amp;
      CHAR(10)&amp;
   "G0"&amp;
      " Z"&amp;calc1!$P$6&amp;
      " F"&amp;initialize!$W$4,
  "")</f>
        <v>G0 Z3,5 F500
G0 X207,626 Y122 F20000				; move to spot No.21
G0 Z1,35 F500					; decrease z-velocity for contact with TLC
G0 Z0,35 F100</v>
      </c>
      <c r="M22" s="20" t="str">
        <f>IF(AND(calc3!J22=TRUE,I23&lt;&gt;"", modify!$K$3&gt;0),
        "; cleaning process"&amp;
         CHAR(10)&amp;
         calc2!$C$8 &amp;
          REPT(
               CHAR(10)&amp;
               calc2!$C$8, modify!$K$3-1),
      "")</f>
        <v>; cleaning process
G0 Z3,5 F500
G0 X191 Y212 F20000				; move to cleaning solution
G0 Z0,05 F500
G0 E-16,1745 F500					; retract
G0 Z3,5 F500
G0 X226 Y212 F20000				; move to waste bin
G0 Z2 F500
G0 E16,1745 F2500					; extrude cleaning solution
G4 P300						;pause</v>
      </c>
      <c r="N22" s="71" t="str">
        <f>IF(calc3!I22=TRUE,
      CHAR(10)&amp;
      "; Spot No."&amp;B22&amp;
      CHAR(10)&amp;
             IF(K22="", "", K22)&amp;                        REPLACE(N("rack"),1,1,"")&amp;CHAR(10)&amp;
             IF(calc2!$A$5="","",calc2!$A$5)&amp;        REPLACE(N("retraction"),1,1,"")&amp;CHAR(10)&amp;
             IF(L22="", "", L22)&amp;                           REPLACE(N("TLC"),1,1,"")&amp;CHAR(10)&amp;
             IF(calc2!$B$5="","",calc2!$B$5)&amp;         REPLACE(N("extrusion"),1,1,"")&amp;CHAR(10)&amp;
             IF(calc2!$C$5="","",calc2!$C$5)&amp;         REPLACE(N("waste"),1,1,"")&amp;CHAR(10)&amp;
             IF(M22="", "", M22)&amp;                          REPLACE(N("cleaning process"),1,1,""),
      "")</f>
        <v xml:space="preserve">
; Spot No.21
G0 Z3,5 F500
G0 X81 Y102 F20000				; move to sample No. 21
G0 Z0,05 F500
; sampling
G0 E-10,783 F500					; extrusion in sample
G0 E5 F500						; partially retract in sample
G0 Z3,5 F500
G0 X207,626 Y122 F20000				; move to spot No.21
G0 Z1,35 F500					; decrease z-velocity for contact with TLC
G0 Z0,35 F100
; spotting
G0 E0,0783 F25					; first extrusion per spot
G4 P300						; waiting time on spot after extrusion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 waste
G0 Z3,5 F500
G0 X226 Y212 F20000				; move to waste bin
G0 Z2 F500
G0 E5 F2500						; extrude rest of sample solution
G4 P300						; pause for 100ms
; cleaning process
G0 Z3,5 F500
G0 X191 Y212 F20000				; move to cleaning solution
G0 Z0,05 F500
G0 E-16,1745 F500					; retract
G0 Z3,5 F500
G0 X226 Y212 F20000				; move to waste bin
G0 Z2 F500
G0 E16,1745 F2500					; extrude cleaning solution
G4 P300						;pause</v>
      </c>
    </row>
    <row r="23" spans="1:14" ht="14.65" customHeight="1">
      <c r="A23" s="19">
        <v>22</v>
      </c>
      <c r="B23" s="69">
        <f>IF(calc3!I23=TRUE,
      COUNTIF(calc3!$I$2:I23,TRUE),
      "")</f>
        <v>22</v>
      </c>
      <c r="C23" s="44">
        <f>IF(calc3!I23=TRUE,ROUNDUP(calc3!A23/calc1!$N$3,0),"")</f>
        <v>4</v>
      </c>
      <c r="D23" s="69">
        <f>IF(calc3!I23=TRUE,MOD((calc3!A23-1),calc1!$N$3),"")</f>
        <v>0</v>
      </c>
      <c r="E23" s="23">
        <f>IF(AND(calc3!I23=TRUE,
                         C23&lt;=calc1!$O$3),
      INT((calc3!A23-1)/calc1!$N$3)*calc1!$H$5+calc1!$P$3,
      "")</f>
        <v>121.5</v>
      </c>
      <c r="F23" s="69">
        <f>IF(AND(calc3!I23=TRUE,
                        C23&lt;=calc1!$O$3),
      IF(
            calc1!$N$3=1,
                  calc1!$Q$3,
            IF(modify!$B$3="s-shape, starting at back left corner",
                  IF(ISODD(C23),
                             calc1!Q$3+D23*calc1!$H$4,
                              calc1!$S$3-D23*calc1!$H$4),
           IF(modify!$B$3="s-shape, starting at front left corner",
                  IF(ISEVEN(C23),
                              calc1!$Q$3+D23*calc1!$H$4,
                              calc1!$S$3-D23*calc1!$H$4),
            IF(modify!$B$3="non alternating, starting at back left corner",
                  calc1!$Q$3+D23*calc1!$H$4,
            IF(modify!$B$3="non alternating, starting at front left corner",
                  calc1!$S$3-D23*calc1!$H$4,
      ""))))),"")</f>
        <v>102</v>
      </c>
      <c r="G23" s="23">
        <f>IF(calc3!I23=TRUE,
      IF(
            calc3!B23&lt;=calc1!$E$3,
                  calc1!$N$6-initialize!$Q$2/(calc1!$E$3+1)*calc3!B23,
            IF(calc3!B23&lt;=calc1!$E$3+calc1!$E$4,
                  calc1!$N$6-initialize!$Q$2/(calc1!$E$4+1)*(calc3!B23-calc1!$E$3)-calc1!$E$2-initialize!$Q$2,
           IF(calc3!B23&lt;=calc1!$H$3,
                  calc1!$N$6-initialize!$Q$2/(calc1!$E$5+1)*(calc3!B23-calc1!$E$3-calc1!$E$4)-(calc1!$E$2+initialize!$Q$2)*2,""))),"")</f>
        <v>203.626</v>
      </c>
      <c r="H23" s="69">
        <f>IF(AND(calc3!I23=TRUE,
                         ROUNDUP(calc3!A23/calc1!$N$3,0)&lt;=calc1!$O$3),
      calc1!$O$6-initialize!$Q$3,
      "")</f>
        <v>122</v>
      </c>
      <c r="I23" s="23" t="b">
        <f>IF(AND(calc3!A23&gt;0,
                         calc3!A23&lt;=calc1!$H$2),
      IF(MOD(calc3!A23-1,modify!$B$6)=0,
            TRUE,
            FALSE),
      "")</f>
        <v>1</v>
      </c>
      <c r="J23" s="69" t="b">
        <f>IF(I23=TRUE,
      IF(MOD(calc3!B23,modify!$K$2)=0,
            TRUE,
            FALSE),
      "")</f>
        <v>1</v>
      </c>
      <c r="K23" s="20" t="str">
        <f>IF(I23=TRUE,
   "G0"&amp;
      " Z"&amp;calc1!$U$3&amp;
      " F"&amp; initialize!$W$3&amp;
      CHAR(10)&amp;
    "G0"&amp;
      " X"&amp;E23&amp;
      " Y"&amp;F23&amp;
      " F"&amp; initialize!$W$2&amp;
       REPT(CHAR(9),4)&amp;
       "; move to sample No. "&amp;A23&amp;
      CHAR(10)&amp;
   "G0"&amp;
      " Z"&amp;calc1!$T$3&amp;
      " F"&amp;initialize!$W$3,
 "")</f>
        <v>G0 Z3,5 F500
G0 X121,5 Y102 F20000				; move to sample No. 22
G0 Z0,05 F500</v>
      </c>
      <c r="L23" s="71" t="str">
        <f>IF(calc3!I23=TRUE,
   "G0 "&amp;
      "Z"&amp;calc1!$U$3 &amp;
      " F"&amp;initialize!$W$3&amp;
      CHAR(10)&amp;
   "G0"&amp;
      " X"&amp;calc3!G23&amp;
      " Y"&amp;H23&amp;
      " F"&amp;initialize!$W$2&amp;
       REPT(CHAR(9),4)&amp;
       "; move to spot No."&amp;B23&amp;
      CHAR(10)&amp;
   "G0"&amp;
      " Z"&amp;calc1!$P$6+initialize!$Q$4&amp;
      " F"&amp;initialize!$W$3&amp;
       REPT(CHAR(9),5)&amp;
       "; decrease z-velocity for contact with TLC"&amp;
      CHAR(10)&amp;
   "G0"&amp;
      " Z"&amp;calc1!$P$6&amp;
      " F"&amp;initialize!$W$4,
  "")</f>
        <v>G0 Z3,5 F500
G0 X203,626 Y122 F20000				; move to spot No.22
G0 Z1,35 F500					; decrease z-velocity for contact with TLC
G0 Z0,35 F100</v>
      </c>
      <c r="M23" s="20" t="str">
        <f>IF(AND(calc3!J23=TRUE,I24&lt;&gt;"", modify!$K$3&gt;0),
        "; cleaning process"&amp;
         CHAR(10)&amp;
         calc2!$C$8 &amp;
          REPT(
               CHAR(10)&amp;
               calc2!$C$8, modify!$K$3-1),
      "")</f>
        <v>; cleaning process
G0 Z3,5 F500
G0 X191 Y212 F20000				; move to cleaning solution
G0 Z0,05 F500
G0 E-16,1745 F500					; retract
G0 Z3,5 F500
G0 X226 Y212 F20000				; move to waste bin
G0 Z2 F500
G0 E16,1745 F2500					; extrude cleaning solution
G4 P300						;pause</v>
      </c>
      <c r="N23" s="71" t="str">
        <f>IF(calc3!I23=TRUE,
      CHAR(10)&amp;
      "; Spot No."&amp;B23&amp;
      CHAR(10)&amp;
             IF(K23="", "", K23)&amp;                        REPLACE(N("rack"),1,1,"")&amp;CHAR(10)&amp;
             IF(calc2!$A$5="","",calc2!$A$5)&amp;        REPLACE(N("retraction"),1,1,"")&amp;CHAR(10)&amp;
             IF(L23="", "", L23)&amp;                           REPLACE(N("TLC"),1,1,"")&amp;CHAR(10)&amp;
             IF(calc2!$B$5="","",calc2!$B$5)&amp;         REPLACE(N("extrusion"),1,1,"")&amp;CHAR(10)&amp;
             IF(calc2!$C$5="","",calc2!$C$5)&amp;         REPLACE(N("waste"),1,1,"")&amp;CHAR(10)&amp;
             IF(M23="", "", M23)&amp;                          REPLACE(N("cleaning process"),1,1,""),
      "")</f>
        <v xml:space="preserve">
; Spot No.22
G0 Z3,5 F500
G0 X121,5 Y102 F20000				; move to sample No. 22
G0 Z0,05 F500
; sampling
G0 E-10,783 F500					; extrusion in sample
G0 E5 F500						; partially retract in sample
G0 Z3,5 F500
G0 X203,626 Y122 F20000				; move to spot No.22
G0 Z1,35 F500					; decrease z-velocity for contact with TLC
G0 Z0,35 F100
; spotting
G0 E0,0783 F25					; first extrusion per spot
G4 P300						; waiting time on spot after extrusion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 waste
G0 Z3,5 F500
G0 X226 Y212 F20000				; move to waste bin
G0 Z2 F500
G0 E5 F2500						; extrude rest of sample solution
G4 P300						; pause for 100ms
; cleaning process
G0 Z3,5 F500
G0 X191 Y212 F20000				; move to cleaning solution
G0 Z0,05 F500
G0 E-16,1745 F500					; retract
G0 Z3,5 F500
G0 X226 Y212 F20000				; move to waste bin
G0 Z2 F500
G0 E16,1745 F2500					; extrude cleaning solution
G4 P300						;pause</v>
      </c>
    </row>
    <row r="24" spans="1:14" ht="14.65" customHeight="1">
      <c r="A24" s="19">
        <v>23</v>
      </c>
      <c r="B24" s="69">
        <f>IF(calc3!I24=TRUE,
      COUNTIF(calc3!$I$2:I24,TRUE),
      "")</f>
        <v>23</v>
      </c>
      <c r="C24" s="44">
        <f>IF(calc3!I24=TRUE,ROUNDUP(calc3!A24/calc1!$N$3,0),"")</f>
        <v>4</v>
      </c>
      <c r="D24" s="69">
        <f>IF(calc3!I24=TRUE,MOD((calc3!A24-1),calc1!$N$3),"")</f>
        <v>1</v>
      </c>
      <c r="E24" s="23">
        <f>IF(AND(calc3!I24=TRUE,
                         C24&lt;=calc1!$O$3),
      INT((calc3!A24-1)/calc1!$N$3)*calc1!$H$5+calc1!$P$3,
      "")</f>
        <v>121.5</v>
      </c>
      <c r="F24" s="69">
        <f>IF(AND(calc3!I24=TRUE,
                        C24&lt;=calc1!$O$3),
      IF(
            calc1!$N$3=1,
                  calc1!$Q$3,
            IF(modify!$B$3="s-shape, starting at back left corner",
                  IF(ISODD(C24),
                             calc1!Q$3+D24*calc1!$H$4,
                              calc1!$S$3-D24*calc1!$H$4),
           IF(modify!$B$3="s-shape, starting at front left corner",
                  IF(ISEVEN(C24),
                              calc1!$Q$3+D24*calc1!$H$4,
                              calc1!$S$3-D24*calc1!$H$4),
            IF(modify!$B$3="non alternating, starting at back left corner",
                  calc1!$Q$3+D24*calc1!$H$4,
            IF(modify!$B$3="non alternating, starting at front left corner",
                  calc1!$S$3-D24*calc1!$H$4,
      ""))))),"")</f>
        <v>134.16666666666666</v>
      </c>
      <c r="G24" s="23">
        <f>IF(calc3!I24=TRUE,
      IF(
            calc3!B24&lt;=calc1!$E$3,
                  calc1!$N$6-initialize!$Q$2/(calc1!$E$3+1)*calc3!B24,
            IF(calc3!B24&lt;=calc1!$E$3+calc1!$E$4,
                  calc1!$N$6-initialize!$Q$2/(calc1!$E$4+1)*(calc3!B24-calc1!$E$3)-calc1!$E$2-initialize!$Q$2,
           IF(calc3!B24&lt;=calc1!$H$3,
                  calc1!$N$6-initialize!$Q$2/(calc1!$E$5+1)*(calc3!B24-calc1!$E$3-calc1!$E$4)-(calc1!$E$2+initialize!$Q$2)*2,""))),"")</f>
        <v>199.626</v>
      </c>
      <c r="H24" s="69">
        <f>IF(AND(calc3!I24=TRUE,
                         ROUNDUP(calc3!A24/calc1!$N$3,0)&lt;=calc1!$O$3),
      calc1!$O$6-initialize!$Q$3,
      "")</f>
        <v>122</v>
      </c>
      <c r="I24" s="23" t="b">
        <f>IF(AND(calc3!A24&gt;0,
                         calc3!A24&lt;=calc1!$H$2),
      IF(MOD(calc3!A24-1,modify!$B$6)=0,
            TRUE,
            FALSE),
      "")</f>
        <v>1</v>
      </c>
      <c r="J24" s="69" t="b">
        <f>IF(I24=TRUE,
      IF(MOD(calc3!B24,modify!$K$2)=0,
            TRUE,
            FALSE),
      "")</f>
        <v>1</v>
      </c>
      <c r="K24" s="20" t="str">
        <f>IF(I24=TRUE,
   "G0"&amp;
      " Z"&amp;calc1!$U$3&amp;
      " F"&amp; initialize!$W$3&amp;
      CHAR(10)&amp;
    "G0"&amp;
      " X"&amp;E24&amp;
      " Y"&amp;F24&amp;
      " F"&amp; initialize!$W$2&amp;
       REPT(CHAR(9),4)&amp;
       "; move to sample No. "&amp;A24&amp;
      CHAR(10)&amp;
   "G0"&amp;
      " Z"&amp;calc1!$T$3&amp;
      " F"&amp;initialize!$W$3,
 "")</f>
        <v>G0 Z3,5 F500
G0 X121,5 Y134,166666666667 F20000				; move to sample No. 23
G0 Z0,05 F500</v>
      </c>
      <c r="L24" s="71" t="str">
        <f>IF(calc3!I24=TRUE,
   "G0 "&amp;
      "Z"&amp;calc1!$U$3 &amp;
      " F"&amp;initialize!$W$3&amp;
      CHAR(10)&amp;
   "G0"&amp;
      " X"&amp;calc3!G24&amp;
      " Y"&amp;H24&amp;
      " F"&amp;initialize!$W$2&amp;
       REPT(CHAR(9),4)&amp;
       "; move to spot No."&amp;B24&amp;
      CHAR(10)&amp;
   "G0"&amp;
      " Z"&amp;calc1!$P$6+initialize!$Q$4&amp;
      " F"&amp;initialize!$W$3&amp;
       REPT(CHAR(9),5)&amp;
       "; decrease z-velocity for contact with TLC"&amp;
      CHAR(10)&amp;
   "G0"&amp;
      " Z"&amp;calc1!$P$6&amp;
      " F"&amp;initialize!$W$4,
  "")</f>
        <v>G0 Z3,5 F500
G0 X199,626 Y122 F20000				; move to spot No.23
G0 Z1,35 F500					; decrease z-velocity for contact with TLC
G0 Z0,35 F100</v>
      </c>
      <c r="M24" s="20" t="str">
        <f>IF(AND(calc3!J24=TRUE,I25&lt;&gt;"", modify!$K$3&gt;0),
        "; cleaning process"&amp;
         CHAR(10)&amp;
         calc2!$C$8 &amp;
          REPT(
               CHAR(10)&amp;
               calc2!$C$8, modify!$K$3-1),
      "")</f>
        <v>; cleaning process
G0 Z3,5 F500
G0 X191 Y212 F20000				; move to cleaning solution
G0 Z0,05 F500
G0 E-16,1745 F500					; retract
G0 Z3,5 F500
G0 X226 Y212 F20000				; move to waste bin
G0 Z2 F500
G0 E16,1745 F2500					; extrude cleaning solution
G4 P300						;pause</v>
      </c>
      <c r="N24" s="71" t="str">
        <f>IF(calc3!I24=TRUE,
      CHAR(10)&amp;
      "; Spot No."&amp;B24&amp;
      CHAR(10)&amp;
             IF(K24="", "", K24)&amp;                        REPLACE(N("rack"),1,1,"")&amp;CHAR(10)&amp;
             IF(calc2!$A$5="","",calc2!$A$5)&amp;        REPLACE(N("retraction"),1,1,"")&amp;CHAR(10)&amp;
             IF(L24="", "", L24)&amp;                           REPLACE(N("TLC"),1,1,"")&amp;CHAR(10)&amp;
             IF(calc2!$B$5="","",calc2!$B$5)&amp;         REPLACE(N("extrusion"),1,1,"")&amp;CHAR(10)&amp;
             IF(calc2!$C$5="","",calc2!$C$5)&amp;         REPLACE(N("waste"),1,1,"")&amp;CHAR(10)&amp;
             IF(M24="", "", M24)&amp;                          REPLACE(N("cleaning process"),1,1,""),
      "")</f>
        <v xml:space="preserve">
; Spot No.23
G0 Z3,5 F500
G0 X121,5 Y134,166666666667 F20000				; move to sample No. 23
G0 Z0,05 F500
; sampling
G0 E-10,783 F500					; extrusion in sample
G0 E5 F500						; partially retract in sample
G0 Z3,5 F500
G0 X199,626 Y122 F20000				; move to spot No.23
G0 Z1,35 F500					; decrease z-velocity for contact with TLC
G0 Z0,35 F100
; spotting
G0 E0,0783 F25					; first extrusion per spot
G4 P300						; waiting time on spot after extrusion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 waste
G0 Z3,5 F500
G0 X226 Y212 F20000				; move to waste bin
G0 Z2 F500
G0 E5 F2500						; extrude rest of sample solution
G4 P300						; pause for 100ms
; cleaning process
G0 Z3,5 F500
G0 X191 Y212 F20000				; move to cleaning solution
G0 Z0,05 F500
G0 E-16,1745 F500					; retract
G0 Z3,5 F500
G0 X226 Y212 F20000				; move to waste bin
G0 Z2 F500
G0 E16,1745 F2500					; extrude cleaning solution
G4 P300						;pause</v>
      </c>
    </row>
    <row r="25" spans="1:14" ht="14.65" customHeight="1">
      <c r="A25" s="19">
        <v>24</v>
      </c>
      <c r="B25" s="69">
        <f>IF(calc3!I25=TRUE,
      COUNTIF(calc3!$I$2:I25,TRUE),
      "")</f>
        <v>24</v>
      </c>
      <c r="C25" s="44">
        <f>IF(calc3!I25=TRUE,ROUNDUP(calc3!A25/calc1!$N$3,0),"")</f>
        <v>4</v>
      </c>
      <c r="D25" s="69">
        <f>IF(calc3!I25=TRUE,MOD((calc3!A25-1),calc1!$N$3),"")</f>
        <v>2</v>
      </c>
      <c r="E25" s="23">
        <f>IF(AND(calc3!I25=TRUE,
                         C25&lt;=calc1!$O$3),
      INT((calc3!A25-1)/calc1!$N$3)*calc1!$H$5+calc1!$P$3,
      "")</f>
        <v>121.5</v>
      </c>
      <c r="F25" s="69">
        <f>IF(AND(calc3!I25=TRUE,
                        C25&lt;=calc1!$O$3),
      IF(
            calc1!$N$3=1,
                  calc1!$Q$3,
            IF(modify!$B$3="s-shape, starting at back left corner",
                  IF(ISODD(C25),
                             calc1!Q$3+D25*calc1!$H$4,
                              calc1!$S$3-D25*calc1!$H$4),
           IF(modify!$B$3="s-shape, starting at front left corner",
                  IF(ISEVEN(C25),
                              calc1!$Q$3+D25*calc1!$H$4,
                              calc1!$S$3-D25*calc1!$H$4),
            IF(modify!$B$3="non alternating, starting at back left corner",
                  calc1!$Q$3+D25*calc1!$H$4,
            IF(modify!$B$3="non alternating, starting at front left corner",
                  calc1!$S$3-D25*calc1!$H$4,
      ""))))),"")</f>
        <v>166.33333333333331</v>
      </c>
      <c r="G25" s="23">
        <f>IF(calc3!I25=TRUE,
      IF(
            calc3!B25&lt;=calc1!$E$3,
                  calc1!$N$6-initialize!$Q$2/(calc1!$E$3+1)*calc3!B25,
            IF(calc3!B25&lt;=calc1!$E$3+calc1!$E$4,
                  calc1!$N$6-initialize!$Q$2/(calc1!$E$4+1)*(calc3!B25-calc1!$E$3)-calc1!$E$2-initialize!$Q$2,
           IF(calc3!B25&lt;=calc1!$H$3,
                  calc1!$N$6-initialize!$Q$2/(calc1!$E$5+1)*(calc3!B25-calc1!$E$3-calc1!$E$4)-(calc1!$E$2+initialize!$Q$2)*2,""))),"")</f>
        <v>195.626</v>
      </c>
      <c r="H25" s="69">
        <f>IF(AND(calc3!I25=TRUE,
                         ROUNDUP(calc3!A25/calc1!$N$3,0)&lt;=calc1!$O$3),
      calc1!$O$6-initialize!$Q$3,
      "")</f>
        <v>122</v>
      </c>
      <c r="I25" s="23" t="b">
        <f>IF(AND(calc3!A25&gt;0,
                         calc3!A25&lt;=calc1!$H$2),
      IF(MOD(calc3!A25-1,modify!$B$6)=0,
            TRUE,
            FALSE),
      "")</f>
        <v>1</v>
      </c>
      <c r="J25" s="69" t="b">
        <f>IF(I25=TRUE,
      IF(MOD(calc3!B25,modify!$K$2)=0,
            TRUE,
            FALSE),
      "")</f>
        <v>1</v>
      </c>
      <c r="K25" s="20" t="str">
        <f>IF(I25=TRUE,
   "G0"&amp;
      " Z"&amp;calc1!$U$3&amp;
      " F"&amp; initialize!$W$3&amp;
      CHAR(10)&amp;
    "G0"&amp;
      " X"&amp;E25&amp;
      " Y"&amp;F25&amp;
      " F"&amp; initialize!$W$2&amp;
       REPT(CHAR(9),4)&amp;
       "; move to sample No. "&amp;A25&amp;
      CHAR(10)&amp;
   "G0"&amp;
      " Z"&amp;calc1!$T$3&amp;
      " F"&amp;initialize!$W$3,
 "")</f>
        <v>G0 Z3,5 F500
G0 X121,5 Y166,333333333333 F20000				; move to sample No. 24
G0 Z0,05 F500</v>
      </c>
      <c r="L25" s="71" t="str">
        <f>IF(calc3!I25=TRUE,
   "G0 "&amp;
      "Z"&amp;calc1!$U$3 &amp;
      " F"&amp;initialize!$W$3&amp;
      CHAR(10)&amp;
   "G0"&amp;
      " X"&amp;calc3!G25&amp;
      " Y"&amp;H25&amp;
      " F"&amp;initialize!$W$2&amp;
       REPT(CHAR(9),4)&amp;
       "; move to spot No."&amp;B25&amp;
      CHAR(10)&amp;
   "G0"&amp;
      " Z"&amp;calc1!$P$6+initialize!$Q$4&amp;
      " F"&amp;initialize!$W$3&amp;
       REPT(CHAR(9),5)&amp;
       "; decrease z-velocity for contact with TLC"&amp;
      CHAR(10)&amp;
   "G0"&amp;
      " Z"&amp;calc1!$P$6&amp;
      " F"&amp;initialize!$W$4,
  "")</f>
        <v>G0 Z3,5 F500
G0 X195,626 Y122 F20000				; move to spot No.24
G0 Z1,35 F500					; decrease z-velocity for contact with TLC
G0 Z0,35 F100</v>
      </c>
      <c r="M25" s="20" t="str">
        <f>IF(AND(calc3!J25=TRUE,I26&lt;&gt;"", modify!$K$3&gt;0),
        "; cleaning process"&amp;
         CHAR(10)&amp;
         calc2!$C$8 &amp;
          REPT(
               CHAR(10)&amp;
               calc2!$C$8, modify!$K$3-1),
      "")</f>
        <v>; cleaning process
G0 Z3,5 F500
G0 X191 Y212 F20000				; move to cleaning solution
G0 Z0,05 F500
G0 E-16,1745 F500					; retract
G0 Z3,5 F500
G0 X226 Y212 F20000				; move to waste bin
G0 Z2 F500
G0 E16,1745 F2500					; extrude cleaning solution
G4 P300						;pause</v>
      </c>
      <c r="N25" s="71" t="str">
        <f>IF(calc3!I25=TRUE,
      CHAR(10)&amp;
      "; Spot No."&amp;B25&amp;
      CHAR(10)&amp;
             IF(K25="", "", K25)&amp;                        REPLACE(N("rack"),1,1,"")&amp;CHAR(10)&amp;
             IF(calc2!$A$5="","",calc2!$A$5)&amp;        REPLACE(N("retraction"),1,1,"")&amp;CHAR(10)&amp;
             IF(L25="", "", L25)&amp;                           REPLACE(N("TLC"),1,1,"")&amp;CHAR(10)&amp;
             IF(calc2!$B$5="","",calc2!$B$5)&amp;         REPLACE(N("extrusion"),1,1,"")&amp;CHAR(10)&amp;
             IF(calc2!$C$5="","",calc2!$C$5)&amp;         REPLACE(N("waste"),1,1,"")&amp;CHAR(10)&amp;
             IF(M25="", "", M25)&amp;                          REPLACE(N("cleaning process"),1,1,""),
      "")</f>
        <v xml:space="preserve">
; Spot No.24
G0 Z3,5 F500
G0 X121,5 Y166,333333333333 F20000				; move to sample No. 24
G0 Z0,05 F500
; sampling
G0 E-10,783 F500					; extrusion in sample
G0 E5 F500						; partially retract in sample
G0 Z3,5 F500
G0 X195,626 Y122 F20000				; move to spot No.24
G0 Z1,35 F500					; decrease z-velocity for contact with TLC
G0 Z0,35 F100
; spotting
G0 E0,0783 F25					; first extrusion per spot
G4 P300						; waiting time on spot after extrusion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 waste
G0 Z3,5 F500
G0 X226 Y212 F20000				; move to waste bin
G0 Z2 F500
G0 E5 F2500						; extrude rest of sample solution
G4 P300						; pause for 100ms
; cleaning process
G0 Z3,5 F500
G0 X191 Y212 F20000				; move to cleaning solution
G0 Z0,05 F500
G0 E-16,1745 F500					; retract
G0 Z3,5 F500
G0 X226 Y212 F20000				; move to waste bin
G0 Z2 F500
G0 E16,1745 F2500					; extrude cleaning solution
G4 P300						;pause</v>
      </c>
    </row>
    <row r="26" spans="1:14" ht="14.65" customHeight="1">
      <c r="A26" s="19">
        <v>25</v>
      </c>
      <c r="B26" s="69">
        <f>IF(calc3!I26=TRUE,
      COUNTIF(calc3!$I$2:I26,TRUE),
      "")</f>
        <v>25</v>
      </c>
      <c r="C26" s="44">
        <f>IF(calc3!I26=TRUE,ROUNDUP(calc3!A26/calc1!$N$3,0),"")</f>
        <v>4</v>
      </c>
      <c r="D26" s="69">
        <f>IF(calc3!I26=TRUE,MOD((calc3!A26-1),calc1!$N$3),"")</f>
        <v>3</v>
      </c>
      <c r="E26" s="23">
        <f>IF(AND(calc3!I26=TRUE,
                         C26&lt;=calc1!$O$3),
      INT((calc3!A26-1)/calc1!$N$3)*calc1!$H$5+calc1!$P$3,
      "")</f>
        <v>121.5</v>
      </c>
      <c r="F26" s="69">
        <f>IF(AND(calc3!I26=TRUE,
                        C26&lt;=calc1!$O$3),
      IF(
            calc1!$N$3=1,
                  calc1!$Q$3,
            IF(modify!$B$3="s-shape, starting at back left corner",
                  IF(ISODD(C26),
                             calc1!Q$3+D26*calc1!$H$4,
                              calc1!$S$3-D26*calc1!$H$4),
           IF(modify!$B$3="s-shape, starting at front left corner",
                  IF(ISEVEN(C26),
                              calc1!$Q$3+D26*calc1!$H$4,
                              calc1!$S$3-D26*calc1!$H$4),
            IF(modify!$B$3="non alternating, starting at back left corner",
                  calc1!$Q$3+D26*calc1!$H$4,
            IF(modify!$B$3="non alternating, starting at front left corner",
                  calc1!$S$3-D26*calc1!$H$4,
      ""))))),"")</f>
        <v>198.5</v>
      </c>
      <c r="G26" s="23">
        <f>IF(calc3!I26=TRUE,
      IF(
            calc3!B26&lt;=calc1!$E$3,
                  calc1!$N$6-initialize!$Q$2/(calc1!$E$3+1)*calc3!B26,
            IF(calc3!B26&lt;=calc1!$E$3+calc1!$E$4,
                  calc1!$N$6-initialize!$Q$2/(calc1!$E$4+1)*(calc3!B26-calc1!$E$3)-calc1!$E$2-initialize!$Q$2,
           IF(calc3!B26&lt;=calc1!$H$3,
                  calc1!$N$6-initialize!$Q$2/(calc1!$E$5+1)*(calc3!B26-calc1!$E$3-calc1!$E$4)-(calc1!$E$2+initialize!$Q$2)*2,""))),"")</f>
        <v>191.626</v>
      </c>
      <c r="H26" s="69">
        <f>IF(AND(calc3!I26=TRUE,
                         ROUNDUP(calc3!A26/calc1!$N$3,0)&lt;=calc1!$O$3),
      calc1!$O$6-initialize!$Q$3,
      "")</f>
        <v>122</v>
      </c>
      <c r="I26" s="23" t="b">
        <f>IF(AND(calc3!A26&gt;0,
                         calc3!A26&lt;=calc1!$H$2),
      IF(MOD(calc3!A26-1,modify!$B$6)=0,
            TRUE,
            FALSE),
      "")</f>
        <v>1</v>
      </c>
      <c r="J26" s="69" t="b">
        <f>IF(I26=TRUE,
      IF(MOD(calc3!B26,modify!$K$2)=0,
            TRUE,
            FALSE),
      "")</f>
        <v>1</v>
      </c>
      <c r="K26" s="20" t="str">
        <f>IF(I26=TRUE,
   "G0"&amp;
      " Z"&amp;calc1!$U$3&amp;
      " F"&amp; initialize!$W$3&amp;
      CHAR(10)&amp;
    "G0"&amp;
      " X"&amp;E26&amp;
      " Y"&amp;F26&amp;
      " F"&amp; initialize!$W$2&amp;
       REPT(CHAR(9),4)&amp;
       "; move to sample No. "&amp;A26&amp;
      CHAR(10)&amp;
   "G0"&amp;
      " Z"&amp;calc1!$T$3&amp;
      " F"&amp;initialize!$W$3,
 "")</f>
        <v>G0 Z3,5 F500
G0 X121,5 Y198,5 F20000				; move to sample No. 25
G0 Z0,05 F500</v>
      </c>
      <c r="L26" s="71" t="str">
        <f>IF(calc3!I26=TRUE,
   "G0 "&amp;
      "Z"&amp;calc1!$U$3 &amp;
      " F"&amp;initialize!$W$3&amp;
      CHAR(10)&amp;
   "G0"&amp;
      " X"&amp;calc3!G26&amp;
      " Y"&amp;H26&amp;
      " F"&amp;initialize!$W$2&amp;
       REPT(CHAR(9),4)&amp;
       "; move to spot No."&amp;B26&amp;
      CHAR(10)&amp;
   "G0"&amp;
      " Z"&amp;calc1!$P$6+initialize!$Q$4&amp;
      " F"&amp;initialize!$W$3&amp;
       REPT(CHAR(9),5)&amp;
       "; decrease z-velocity for contact with TLC"&amp;
      CHAR(10)&amp;
   "G0"&amp;
      " Z"&amp;calc1!$P$6&amp;
      " F"&amp;initialize!$W$4,
  "")</f>
        <v>G0 Z3,5 F500
G0 X191,626 Y122 F20000				; move to spot No.25
G0 Z1,35 F500					; decrease z-velocity for contact with TLC
G0 Z0,35 F100</v>
      </c>
      <c r="M26" s="20" t="str">
        <f>IF(AND(calc3!J26=TRUE,I27&lt;&gt;"", modify!$K$3&gt;0),
        "; cleaning process"&amp;
         CHAR(10)&amp;
         calc2!$C$8 &amp;
          REPT(
               CHAR(10)&amp;
               calc2!$C$8, modify!$K$3-1),
      "")</f>
        <v>; cleaning process
G0 Z3,5 F500
G0 X191 Y212 F20000				; move to cleaning solution
G0 Z0,05 F500
G0 E-16,1745 F500					; retract
G0 Z3,5 F500
G0 X226 Y212 F20000				; move to waste bin
G0 Z2 F500
G0 E16,1745 F2500					; extrude cleaning solution
G4 P300						;pause</v>
      </c>
      <c r="N26" s="71" t="str">
        <f>IF(calc3!I26=TRUE,
      CHAR(10)&amp;
      "; Spot No."&amp;B26&amp;
      CHAR(10)&amp;
             IF(K26="", "", K26)&amp;                        REPLACE(N("rack"),1,1,"")&amp;CHAR(10)&amp;
             IF(calc2!$A$5="","",calc2!$A$5)&amp;        REPLACE(N("retraction"),1,1,"")&amp;CHAR(10)&amp;
             IF(L26="", "", L26)&amp;                           REPLACE(N("TLC"),1,1,"")&amp;CHAR(10)&amp;
             IF(calc2!$B$5="","",calc2!$B$5)&amp;         REPLACE(N("extrusion"),1,1,"")&amp;CHAR(10)&amp;
             IF(calc2!$C$5="","",calc2!$C$5)&amp;         REPLACE(N("waste"),1,1,"")&amp;CHAR(10)&amp;
             IF(M26="", "", M26)&amp;                          REPLACE(N("cleaning process"),1,1,""),
      "")</f>
        <v xml:space="preserve">
; Spot No.25
G0 Z3,5 F500
G0 X121,5 Y198,5 F20000				; move to sample No. 25
G0 Z0,05 F500
; sampling
G0 E-10,783 F500					; extrusion in sample
G0 E5 F500						; partially retract in sample
G0 Z3,5 F500
G0 X191,626 Y122 F20000				; move to spot No.25
G0 Z1,35 F500					; decrease z-velocity for contact with TLC
G0 Z0,35 F100
; spotting
G0 E0,0783 F25					; first extrusion per spot
G4 P300						; waiting time on spot after extrusion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 waste
G0 Z3,5 F500
G0 X226 Y212 F20000				; move to waste bin
G0 Z2 F500
G0 E5 F2500						; extrude rest of sample solution
G4 P300						; pause for 100ms
; cleaning process
G0 Z3,5 F500
G0 X191 Y212 F20000				; move to cleaning solution
G0 Z0,05 F500
G0 E-16,1745 F500					; retract
G0 Z3,5 F500
G0 X226 Y212 F20000				; move to waste bin
G0 Z2 F500
G0 E16,1745 F2500					; extrude cleaning solution
G4 P300						;pause</v>
      </c>
    </row>
    <row r="27" spans="1:14" ht="14.65" customHeight="1">
      <c r="A27" s="19">
        <v>26</v>
      </c>
      <c r="B27" s="69">
        <f>IF(calc3!I27=TRUE,
      COUNTIF(calc3!$I$2:I27,TRUE),
      "")</f>
        <v>26</v>
      </c>
      <c r="C27" s="44">
        <f>IF(calc3!I27=TRUE,ROUNDUP(calc3!A27/calc1!$N$3,0),"")</f>
        <v>4</v>
      </c>
      <c r="D27" s="69">
        <f>IF(calc3!I27=TRUE,MOD((calc3!A27-1),calc1!$N$3),"")</f>
        <v>4</v>
      </c>
      <c r="E27" s="23">
        <f>IF(AND(calc3!I27=TRUE,
                         C27&lt;=calc1!$O$3),
      INT((calc3!A27-1)/calc1!$N$3)*calc1!$H$5+calc1!$P$3,
      "")</f>
        <v>121.5</v>
      </c>
      <c r="F27" s="69">
        <f>IF(AND(calc3!I27=TRUE,
                        C27&lt;=calc1!$O$3),
      IF(
            calc1!$N$3=1,
                  calc1!$Q$3,
            IF(modify!$B$3="s-shape, starting at back left corner",
                  IF(ISODD(C27),
                             calc1!Q$3+D27*calc1!$H$4,
                              calc1!$S$3-D27*calc1!$H$4),
           IF(modify!$B$3="s-shape, starting at front left corner",
                  IF(ISEVEN(C27),
                              calc1!$Q$3+D27*calc1!$H$4,
                              calc1!$S$3-D27*calc1!$H$4),
            IF(modify!$B$3="non alternating, starting at back left corner",
                  calc1!$Q$3+D27*calc1!$H$4,
            IF(modify!$B$3="non alternating, starting at front left corner",
                  calc1!$S$3-D27*calc1!$H$4,
      ""))))),"")</f>
        <v>230.66666666666666</v>
      </c>
      <c r="G27" s="23">
        <f>IF(calc3!I27=TRUE,
      IF(
            calc3!B27&lt;=calc1!$E$3,
                  calc1!$N$6-initialize!$Q$2/(calc1!$E$3+1)*calc3!B27,
            IF(calc3!B27&lt;=calc1!$E$3+calc1!$E$4,
                  calc1!$N$6-initialize!$Q$2/(calc1!$E$4+1)*(calc3!B27-calc1!$E$3)-calc1!$E$2-initialize!$Q$2,
           IF(calc3!B27&lt;=calc1!$H$3,
                  calc1!$N$6-initialize!$Q$2/(calc1!$E$5+1)*(calc3!B27-calc1!$E$3-calc1!$E$4)-(calc1!$E$2+initialize!$Q$2)*2,""))),"")</f>
        <v>187.626</v>
      </c>
      <c r="H27" s="69">
        <f>IF(AND(calc3!I27=TRUE,
                         ROUNDUP(calc3!A27/calc1!$N$3,0)&lt;=calc1!$O$3),
      calc1!$O$6-initialize!$Q$3,
      "")</f>
        <v>122</v>
      </c>
      <c r="I27" s="23" t="b">
        <f>IF(AND(calc3!A27&gt;0,
                         calc3!A27&lt;=calc1!$H$2),
      IF(MOD(calc3!A27-1,modify!$B$6)=0,
            TRUE,
            FALSE),
      "")</f>
        <v>1</v>
      </c>
      <c r="J27" s="69" t="b">
        <f>IF(I27=TRUE,
      IF(MOD(calc3!B27,modify!$K$2)=0,
            TRUE,
            FALSE),
      "")</f>
        <v>1</v>
      </c>
      <c r="K27" s="20" t="str">
        <f>IF(I27=TRUE,
   "G0"&amp;
      " Z"&amp;calc1!$U$3&amp;
      " F"&amp; initialize!$W$3&amp;
      CHAR(10)&amp;
    "G0"&amp;
      " X"&amp;E27&amp;
      " Y"&amp;F27&amp;
      " F"&amp; initialize!$W$2&amp;
       REPT(CHAR(9),4)&amp;
       "; move to sample No. "&amp;A27&amp;
      CHAR(10)&amp;
   "G0"&amp;
      " Z"&amp;calc1!$T$3&amp;
      " F"&amp;initialize!$W$3,
 "")</f>
        <v>G0 Z3,5 F500
G0 X121,5 Y230,666666666667 F20000				; move to sample No. 26
G0 Z0,05 F500</v>
      </c>
      <c r="L27" s="71" t="str">
        <f>IF(calc3!I27=TRUE,
   "G0 "&amp;
      "Z"&amp;calc1!$U$3 &amp;
      " F"&amp;initialize!$W$3&amp;
      CHAR(10)&amp;
   "G0"&amp;
      " X"&amp;calc3!G27&amp;
      " Y"&amp;H27&amp;
      " F"&amp;initialize!$W$2&amp;
       REPT(CHAR(9),4)&amp;
       "; move to spot No."&amp;B27&amp;
      CHAR(10)&amp;
   "G0"&amp;
      " Z"&amp;calc1!$P$6+initialize!$Q$4&amp;
      " F"&amp;initialize!$W$3&amp;
       REPT(CHAR(9),5)&amp;
       "; decrease z-velocity for contact with TLC"&amp;
      CHAR(10)&amp;
   "G0"&amp;
      " Z"&amp;calc1!$P$6&amp;
      " F"&amp;initialize!$W$4,
  "")</f>
        <v>G0 Z3,5 F500
G0 X187,626 Y122 F20000				; move to spot No.26
G0 Z1,35 F500					; decrease z-velocity for contact with TLC
G0 Z0,35 F100</v>
      </c>
      <c r="M27" s="20" t="str">
        <f>IF(AND(calc3!J27=TRUE,I28&lt;&gt;"", modify!$K$3&gt;0),
        "; cleaning process"&amp;
         CHAR(10)&amp;
         calc2!$C$8 &amp;
          REPT(
               CHAR(10)&amp;
               calc2!$C$8, modify!$K$3-1),
      "")</f>
        <v>; cleaning process
G0 Z3,5 F500
G0 X191 Y212 F20000				; move to cleaning solution
G0 Z0,05 F500
G0 E-16,1745 F500					; retract
G0 Z3,5 F500
G0 X226 Y212 F20000				; move to waste bin
G0 Z2 F500
G0 E16,1745 F2500					; extrude cleaning solution
G4 P300						;pause</v>
      </c>
      <c r="N27" s="71" t="str">
        <f>IF(calc3!I27=TRUE,
      CHAR(10)&amp;
      "; Spot No."&amp;B27&amp;
      CHAR(10)&amp;
             IF(K27="", "", K27)&amp;                        REPLACE(N("rack"),1,1,"")&amp;CHAR(10)&amp;
             IF(calc2!$A$5="","",calc2!$A$5)&amp;        REPLACE(N("retraction"),1,1,"")&amp;CHAR(10)&amp;
             IF(L27="", "", L27)&amp;                           REPLACE(N("TLC"),1,1,"")&amp;CHAR(10)&amp;
             IF(calc2!$B$5="","",calc2!$B$5)&amp;         REPLACE(N("extrusion"),1,1,"")&amp;CHAR(10)&amp;
             IF(calc2!$C$5="","",calc2!$C$5)&amp;         REPLACE(N("waste"),1,1,"")&amp;CHAR(10)&amp;
             IF(M27="", "", M27)&amp;                          REPLACE(N("cleaning process"),1,1,""),
      "")</f>
        <v xml:space="preserve">
; Spot No.26
G0 Z3,5 F500
G0 X121,5 Y230,666666666667 F20000				; move to sample No. 26
G0 Z0,05 F500
; sampling
G0 E-10,783 F500					; extrusion in sample
G0 E5 F500						; partially retract in sample
G0 Z3,5 F500
G0 X187,626 Y122 F20000				; move to spot No.26
G0 Z1,35 F500					; decrease z-velocity for contact with TLC
G0 Z0,35 F100
; spotting
G0 E0,0783 F25					; first extrusion per spot
G4 P300						; waiting time on spot after extrusion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 waste
G0 Z3,5 F500
G0 X226 Y212 F20000				; move to waste bin
G0 Z2 F500
G0 E5 F2500						; extrude rest of sample solution
G4 P300						; pause for 100ms
; cleaning process
G0 Z3,5 F500
G0 X191 Y212 F20000				; move to cleaning solution
G0 Z0,05 F500
G0 E-16,1745 F500					; retract
G0 Z3,5 F500
G0 X226 Y212 F20000				; move to waste bin
G0 Z2 F500
G0 E16,1745 F2500					; extrude cleaning solution
G4 P300						;pause</v>
      </c>
    </row>
    <row r="28" spans="1:14" ht="14.65" customHeight="1">
      <c r="A28" s="19">
        <v>27</v>
      </c>
      <c r="B28" s="69">
        <f>IF(calc3!I28=TRUE,
      COUNTIF(calc3!$I$2:I28,TRUE),
      "")</f>
        <v>27</v>
      </c>
      <c r="C28" s="44">
        <f>IF(calc3!I28=TRUE,ROUNDUP(calc3!A28/calc1!$N$3,0),"")</f>
        <v>4</v>
      </c>
      <c r="D28" s="69">
        <f>IF(calc3!I28=TRUE,MOD((calc3!A28-1),calc1!$N$3),"")</f>
        <v>5</v>
      </c>
      <c r="E28" s="23">
        <f>IF(AND(calc3!I28=TRUE,
                         C28&lt;=calc1!$O$3),
      INT((calc3!A28-1)/calc1!$N$3)*calc1!$H$5+calc1!$P$3,
      "")</f>
        <v>121.5</v>
      </c>
      <c r="F28" s="69">
        <f>IF(AND(calc3!I28=TRUE,
                        C28&lt;=calc1!$O$3),
      IF(
            calc1!$N$3=1,
                  calc1!$Q$3,
            IF(modify!$B$3="s-shape, starting at back left corner",
                  IF(ISODD(C28),
                             calc1!Q$3+D28*calc1!$H$4,
                              calc1!$S$3-D28*calc1!$H$4),
           IF(modify!$B$3="s-shape, starting at front left corner",
                  IF(ISEVEN(C28),
                              calc1!$Q$3+D28*calc1!$H$4,
                              calc1!$S$3-D28*calc1!$H$4),
            IF(modify!$B$3="non alternating, starting at back left corner",
                  calc1!$Q$3+D28*calc1!$H$4,
            IF(modify!$B$3="non alternating, starting at front left corner",
                  calc1!$S$3-D28*calc1!$H$4,
      ""))))),"")</f>
        <v>262.83333333333331</v>
      </c>
      <c r="G28" s="23">
        <f>IF(calc3!I28=TRUE,
      IF(
            calc3!B28&lt;=calc1!$E$3,
                  calc1!$N$6-initialize!$Q$2/(calc1!$E$3+1)*calc3!B28,
            IF(calc3!B28&lt;=calc1!$E$3+calc1!$E$4,
                  calc1!$N$6-initialize!$Q$2/(calc1!$E$4+1)*(calc3!B28-calc1!$E$3)-calc1!$E$2-initialize!$Q$2,
           IF(calc3!B28&lt;=calc1!$H$3,
                  calc1!$N$6-initialize!$Q$2/(calc1!$E$5+1)*(calc3!B28-calc1!$E$3-calc1!$E$4)-(calc1!$E$2+initialize!$Q$2)*2,""))),"")</f>
        <v>183.626</v>
      </c>
      <c r="H28" s="69">
        <f>IF(AND(calc3!I28=TRUE,
                         ROUNDUP(calc3!A28/calc1!$N$3,0)&lt;=calc1!$O$3),
      calc1!$O$6-initialize!$Q$3,
      "")</f>
        <v>122</v>
      </c>
      <c r="I28" s="23" t="b">
        <f>IF(AND(calc3!A28&gt;0,
                         calc3!A28&lt;=calc1!$H$2),
      IF(MOD(calc3!A28-1,modify!$B$6)=0,
            TRUE,
            FALSE),
      "")</f>
        <v>1</v>
      </c>
      <c r="J28" s="69" t="b">
        <f>IF(I28=TRUE,
      IF(MOD(calc3!B28,modify!$K$2)=0,
            TRUE,
            FALSE),
      "")</f>
        <v>1</v>
      </c>
      <c r="K28" s="20" t="str">
        <f>IF(I28=TRUE,
   "G0"&amp;
      " Z"&amp;calc1!$U$3&amp;
      " F"&amp; initialize!$W$3&amp;
      CHAR(10)&amp;
    "G0"&amp;
      " X"&amp;E28&amp;
      " Y"&amp;F28&amp;
      " F"&amp; initialize!$W$2&amp;
       REPT(CHAR(9),4)&amp;
       "; move to sample No. "&amp;A28&amp;
      CHAR(10)&amp;
   "G0"&amp;
      " Z"&amp;calc1!$T$3&amp;
      " F"&amp;initialize!$W$3,
 "")</f>
        <v>G0 Z3,5 F500
G0 X121,5 Y262,833333333333 F20000				; move to sample No. 27
G0 Z0,05 F500</v>
      </c>
      <c r="L28" s="71" t="str">
        <f>IF(calc3!I28=TRUE,
   "G0 "&amp;
      "Z"&amp;calc1!$U$3 &amp;
      " F"&amp;initialize!$W$3&amp;
      CHAR(10)&amp;
   "G0"&amp;
      " X"&amp;calc3!G28&amp;
      " Y"&amp;H28&amp;
      " F"&amp;initialize!$W$2&amp;
       REPT(CHAR(9),4)&amp;
       "; move to spot No."&amp;B28&amp;
      CHAR(10)&amp;
   "G0"&amp;
      " Z"&amp;calc1!$P$6+initialize!$Q$4&amp;
      " F"&amp;initialize!$W$3&amp;
       REPT(CHAR(9),5)&amp;
       "; decrease z-velocity for contact with TLC"&amp;
      CHAR(10)&amp;
   "G0"&amp;
      " Z"&amp;calc1!$P$6&amp;
      " F"&amp;initialize!$W$4,
  "")</f>
        <v>G0 Z3,5 F500
G0 X183,626 Y122 F20000				; move to spot No.27
G0 Z1,35 F500					; decrease z-velocity for contact with TLC
G0 Z0,35 F100</v>
      </c>
      <c r="M28" s="20" t="str">
        <f>IF(AND(calc3!J28=TRUE,I29&lt;&gt;"", modify!$K$3&gt;0),
        "; cleaning process"&amp;
         CHAR(10)&amp;
         calc2!$C$8 &amp;
          REPT(
               CHAR(10)&amp;
               calc2!$C$8, modify!$K$3-1),
      "")</f>
        <v>; cleaning process
G0 Z3,5 F500
G0 X191 Y212 F20000				; move to cleaning solution
G0 Z0,05 F500
G0 E-16,1745 F500					; retract
G0 Z3,5 F500
G0 X226 Y212 F20000				; move to waste bin
G0 Z2 F500
G0 E16,1745 F2500					; extrude cleaning solution
G4 P300						;pause</v>
      </c>
      <c r="N28" s="71" t="str">
        <f>IF(calc3!I28=TRUE,
      CHAR(10)&amp;
      "; Spot No."&amp;B28&amp;
      CHAR(10)&amp;
             IF(K28="", "", K28)&amp;                        REPLACE(N("rack"),1,1,"")&amp;CHAR(10)&amp;
             IF(calc2!$A$5="","",calc2!$A$5)&amp;        REPLACE(N("retraction"),1,1,"")&amp;CHAR(10)&amp;
             IF(L28="", "", L28)&amp;                           REPLACE(N("TLC"),1,1,"")&amp;CHAR(10)&amp;
             IF(calc2!$B$5="","",calc2!$B$5)&amp;         REPLACE(N("extrusion"),1,1,"")&amp;CHAR(10)&amp;
             IF(calc2!$C$5="","",calc2!$C$5)&amp;         REPLACE(N("waste"),1,1,"")&amp;CHAR(10)&amp;
             IF(M28="", "", M28)&amp;                          REPLACE(N("cleaning process"),1,1,""),
      "")</f>
        <v xml:space="preserve">
; Spot No.27
G0 Z3,5 F500
G0 X121,5 Y262,833333333333 F20000				; move to sample No. 27
G0 Z0,05 F500
; sampling
G0 E-10,783 F500					; extrusion in sample
G0 E5 F500						; partially retract in sample
G0 Z3,5 F500
G0 X183,626 Y122 F20000				; move to spot No.27
G0 Z1,35 F500					; decrease z-velocity for contact with TLC
G0 Z0,35 F100
; spotting
G0 E0,0783 F25					; first extrusion per spot
G4 P300						; waiting time on spot after extrusion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 waste
G0 Z3,5 F500
G0 X226 Y212 F20000				; move to waste bin
G0 Z2 F500
G0 E5 F2500						; extrude rest of sample solution
G4 P300						; pause for 100ms
; cleaning process
G0 Z3,5 F500
G0 X191 Y212 F20000				; move to cleaning solution
G0 Z0,05 F500
G0 E-16,1745 F500					; retract
G0 Z3,5 F500
G0 X226 Y212 F20000				; move to waste bin
G0 Z2 F500
G0 E16,1745 F2500					; extrude cleaning solution
G4 P300						;pause</v>
      </c>
    </row>
    <row r="29" spans="1:14" ht="14.65" customHeight="1">
      <c r="A29" s="19">
        <v>28</v>
      </c>
      <c r="B29" s="69">
        <f>IF(calc3!I29=TRUE,
      COUNTIF(calc3!$I$2:I29,TRUE),
      "")</f>
        <v>28</v>
      </c>
      <c r="C29" s="44">
        <f>IF(calc3!I29=TRUE,ROUNDUP(calc3!A29/calc1!$N$3,0),"")</f>
        <v>4</v>
      </c>
      <c r="D29" s="69">
        <f>IF(calc3!I29=TRUE,MOD((calc3!A29-1),calc1!$N$3),"")</f>
        <v>6</v>
      </c>
      <c r="E29" s="23">
        <f>IF(AND(calc3!I29=TRUE,
                         C29&lt;=calc1!$O$3),
      INT((calc3!A29-1)/calc1!$N$3)*calc1!$H$5+calc1!$P$3,
      "")</f>
        <v>121.5</v>
      </c>
      <c r="F29" s="69">
        <f>IF(AND(calc3!I29=TRUE,
                        C29&lt;=calc1!$O$3),
      IF(
            calc1!$N$3=1,
                  calc1!$Q$3,
            IF(modify!$B$3="s-shape, starting at back left corner",
                  IF(ISODD(C29),
                             calc1!Q$3+D29*calc1!$H$4,
                              calc1!$S$3-D29*calc1!$H$4),
           IF(modify!$B$3="s-shape, starting at front left corner",
                  IF(ISEVEN(C29),
                              calc1!$Q$3+D29*calc1!$H$4,
                              calc1!$S$3-D29*calc1!$H$4),
            IF(modify!$B$3="non alternating, starting at back left corner",
                  calc1!$Q$3+D29*calc1!$H$4,
            IF(modify!$B$3="non alternating, starting at front left corner",
                  calc1!$S$3-D29*calc1!$H$4,
      ""))))),"")</f>
        <v>295</v>
      </c>
      <c r="G29" s="23">
        <f>IF(calc3!I29=TRUE,
      IF(
            calc3!B29&lt;=calc1!$E$3,
                  calc1!$N$6-initialize!$Q$2/(calc1!$E$3+1)*calc3!B29,
            IF(calc3!B29&lt;=calc1!$E$3+calc1!$E$4,
                  calc1!$N$6-initialize!$Q$2/(calc1!$E$4+1)*(calc3!B29-calc1!$E$3)-calc1!$E$2-initialize!$Q$2,
           IF(calc3!B29&lt;=calc1!$H$3,
                  calc1!$N$6-initialize!$Q$2/(calc1!$E$5+1)*(calc3!B29-calc1!$E$3-calc1!$E$4)-(calc1!$E$2+initialize!$Q$2)*2,""))),"")</f>
        <v>179.626</v>
      </c>
      <c r="H29" s="69">
        <f>IF(AND(calc3!I29=TRUE,
                         ROUNDUP(calc3!A29/calc1!$N$3,0)&lt;=calc1!$O$3),
      calc1!$O$6-initialize!$Q$3,
      "")</f>
        <v>122</v>
      </c>
      <c r="I29" s="23" t="b">
        <f>IF(AND(calc3!A29&gt;0,
                         calc3!A29&lt;=calc1!$H$2),
      IF(MOD(calc3!A29-1,modify!$B$6)=0,
            TRUE,
            FALSE),
      "")</f>
        <v>1</v>
      </c>
      <c r="J29" s="69" t="b">
        <f>IF(I29=TRUE,
      IF(MOD(calc3!B29,modify!$K$2)=0,
            TRUE,
            FALSE),
      "")</f>
        <v>1</v>
      </c>
      <c r="K29" s="20" t="str">
        <f>IF(I29=TRUE,
   "G0"&amp;
      " Z"&amp;calc1!$U$3&amp;
      " F"&amp; initialize!$W$3&amp;
      CHAR(10)&amp;
    "G0"&amp;
      " X"&amp;E29&amp;
      " Y"&amp;F29&amp;
      " F"&amp; initialize!$W$2&amp;
       REPT(CHAR(9),4)&amp;
       "; move to sample No. "&amp;A29&amp;
      CHAR(10)&amp;
   "G0"&amp;
      " Z"&amp;calc1!$T$3&amp;
      " F"&amp;initialize!$W$3,
 "")</f>
        <v>G0 Z3,5 F500
G0 X121,5 Y295 F20000				; move to sample No. 28
G0 Z0,05 F500</v>
      </c>
      <c r="L29" s="71" t="str">
        <f>IF(calc3!I29=TRUE,
   "G0 "&amp;
      "Z"&amp;calc1!$U$3 &amp;
      " F"&amp;initialize!$W$3&amp;
      CHAR(10)&amp;
   "G0"&amp;
      " X"&amp;calc3!G29&amp;
      " Y"&amp;H29&amp;
      " F"&amp;initialize!$W$2&amp;
       REPT(CHAR(9),4)&amp;
       "; move to spot No."&amp;B29&amp;
      CHAR(10)&amp;
   "G0"&amp;
      " Z"&amp;calc1!$P$6+initialize!$Q$4&amp;
      " F"&amp;initialize!$W$3&amp;
       REPT(CHAR(9),5)&amp;
       "; decrease z-velocity for contact with TLC"&amp;
      CHAR(10)&amp;
   "G0"&amp;
      " Z"&amp;calc1!$P$6&amp;
      " F"&amp;initialize!$W$4,
  "")</f>
        <v>G0 Z3,5 F500
G0 X179,626 Y122 F20000				; move to spot No.28
G0 Z1,35 F500					; decrease z-velocity for contact with TLC
G0 Z0,35 F100</v>
      </c>
      <c r="M29" s="20" t="str">
        <f>IF(AND(calc3!J29=TRUE,I30&lt;&gt;"", modify!$K$3&gt;0),
        "; cleaning process"&amp;
         CHAR(10)&amp;
         calc2!$C$8 &amp;
          REPT(
               CHAR(10)&amp;
               calc2!$C$8, modify!$K$3-1),
      "")</f>
        <v/>
      </c>
      <c r="N29" s="71" t="str">
        <f>IF(calc3!I29=TRUE,
      CHAR(10)&amp;
      "; Spot No."&amp;B29&amp;
      CHAR(10)&amp;
             IF(K29="", "", K29)&amp;                        REPLACE(N("rack"),1,1,"")&amp;CHAR(10)&amp;
             IF(calc2!$A$5="","",calc2!$A$5)&amp;        REPLACE(N("retraction"),1,1,"")&amp;CHAR(10)&amp;
             IF(L29="", "", L29)&amp;                           REPLACE(N("TLC"),1,1,"")&amp;CHAR(10)&amp;
             IF(calc2!$B$5="","",calc2!$B$5)&amp;         REPLACE(N("extrusion"),1,1,"")&amp;CHAR(10)&amp;
             IF(calc2!$C$5="","",calc2!$C$5)&amp;         REPLACE(N("waste"),1,1,"")&amp;CHAR(10)&amp;
             IF(M29="", "", M29)&amp;                          REPLACE(N("cleaning process"),1,1,""),
      "")</f>
        <v xml:space="preserve">
; Spot No.28
G0 Z3,5 F500
G0 X121,5 Y295 F20000				; move to sample No. 28
G0 Z0,05 F500
; sampling
G0 E-10,783 F500					; extrusion in sample
G0 E5 F500						; partially retract in sample
G0 Z3,5 F500
G0 X179,626 Y122 F20000				; move to spot No.28
G0 Z1,35 F500					; decrease z-velocity for contact with TLC
G0 Z0,35 F100
; spotting
G0 E0,0783 F25					; first extrusion per spot
G4 P300						; waiting time on spot after extrusion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G0 Z1,35 F100
G4 S1
G0 Z0,35 F100
G0 E0,0783 F25
G4 P300
; waste
G0 Z3,5 F500
G0 X226 Y212 F20000				; move to waste bin
G0 Z2 F500
G0 E5 F2500						; extrude rest of sample solution
G4 P300						; pause for 100ms
</v>
      </c>
    </row>
    <row r="30" spans="1:14" ht="14.65" customHeight="1">
      <c r="A30" s="19">
        <v>29</v>
      </c>
      <c r="B30" s="69" t="str">
        <f>IF(calc3!I30=TRUE,
      COUNTIF(calc3!$I$2:I30,TRUE),
      "")</f>
        <v/>
      </c>
      <c r="C30" s="44" t="str">
        <f>IF(calc3!I30=TRUE,ROUNDUP(calc3!A30/calc1!$N$3,0),"")</f>
        <v/>
      </c>
      <c r="D30" s="69" t="str">
        <f>IF(calc3!I30=TRUE,MOD((calc3!A30-1),calc1!$N$3),"")</f>
        <v/>
      </c>
      <c r="E30" s="23" t="str">
        <f>IF(AND(calc3!I30=TRUE,
                         C30&lt;=calc1!$O$3),
      INT((calc3!A30-1)/calc1!$N$3)*calc1!$H$5+calc1!$P$3,
      "")</f>
        <v/>
      </c>
      <c r="F30" s="69" t="str">
        <f>IF(AND(calc3!I30=TRUE,
                        C30&lt;=calc1!$O$3),
      IF(
            calc1!$N$3=1,
                  calc1!$Q$3,
            IF(modify!$B$3="s-shape, starting at back left corner",
                  IF(ISODD(C30),
                             calc1!Q$3+D30*calc1!$H$4,
                              calc1!$S$3-D30*calc1!$H$4),
           IF(modify!$B$3="s-shape, starting at front left corner",
                  IF(ISEVEN(C30),
                              calc1!$Q$3+D30*calc1!$H$4,
                              calc1!$S$3-D30*calc1!$H$4),
            IF(modify!$B$3="non alternating, starting at back left corner",
                  calc1!$Q$3+D30*calc1!$H$4,
            IF(modify!$B$3="non alternating, starting at front left corner",
                  calc1!$S$3-D30*calc1!$H$4,
      ""))))),"")</f>
        <v/>
      </c>
      <c r="G30" s="23" t="str">
        <f>IF(calc3!I30=TRUE,
      IF(
            calc3!B30&lt;=calc1!$E$3,
                  calc1!$N$6-initialize!$Q$2/(calc1!$E$3+1)*calc3!B30,
            IF(calc3!B30&lt;=calc1!$E$3+calc1!$E$4,
                  calc1!$N$6-initialize!$Q$2/(calc1!$E$4+1)*(calc3!B30-calc1!$E$3)-calc1!$E$2-initialize!$Q$2,
           IF(calc3!B30&lt;=calc1!$H$3,
                  calc1!$N$6-initialize!$Q$2/(calc1!$E$5+1)*(calc3!B30-calc1!$E$3-calc1!$E$4)-(calc1!$E$2+initialize!$Q$2)*2,""))),"")</f>
        <v/>
      </c>
      <c r="H30" s="69" t="str">
        <f>IF(AND(calc3!I30=TRUE,
                         ROUNDUP(calc3!A30/calc1!$N$3,0)&lt;=calc1!$O$3),
      calc1!$O$6-initialize!$Q$3,
      "")</f>
        <v/>
      </c>
      <c r="I30" s="23" t="str">
        <f>IF(AND(calc3!A30&gt;0,
                         calc3!A30&lt;=calc1!$H$2),
      IF(MOD(calc3!A30-1,modify!$B$6)=0,
            TRUE,
            FALSE),
      "")</f>
        <v/>
      </c>
      <c r="J30" s="69" t="str">
        <f>IF(I30=TRUE,
      IF(MOD(calc3!B30,modify!$K$2)=0,
            TRUE,
            FALSE),
      "")</f>
        <v/>
      </c>
      <c r="K30" s="20" t="str">
        <f>IF(I30=TRUE,
   "G0"&amp;
      " Z"&amp;calc1!$U$3&amp;
      " F"&amp; initialize!$W$3&amp;
      CHAR(10)&amp;
    "G0"&amp;
      " X"&amp;E30&amp;
      " Y"&amp;F30&amp;
      " F"&amp; initialize!$W$2&amp;
       REPT(CHAR(9),4)&amp;
       "; move to sample No. "&amp;A30&amp;
      CHAR(10)&amp;
   "G0"&amp;
      " Z"&amp;calc1!$T$3&amp;
      " F"&amp;initialize!$W$3,
 "")</f>
        <v/>
      </c>
      <c r="L30" s="71" t="str">
        <f>IF(calc3!I30=TRUE,
   "G0 "&amp;
      "Z"&amp;calc1!$U$3 &amp;
      " F"&amp;initialize!$W$3&amp;
      CHAR(10)&amp;
   "G0"&amp;
      " X"&amp;calc3!G30&amp;
      " Y"&amp;H30&amp;
      " F"&amp;initialize!$W$2&amp;
       REPT(CHAR(9),4)&amp;
       "; move to spot No."&amp;B30&amp;
      CHAR(10)&amp;
   "G0"&amp;
      " Z"&amp;calc1!$P$6+initialize!$Q$4&amp;
      " F"&amp;initialize!$W$3&amp;
       REPT(CHAR(9),5)&amp;
       "; decrease z-velocity for contact with TLC"&amp;
      CHAR(10)&amp;
   "G0"&amp;
      " Z"&amp;calc1!$P$6&amp;
      " F"&amp;initialize!$W$4,
  "")</f>
        <v/>
      </c>
      <c r="M30" s="20" t="str">
        <f>IF(AND(calc3!J30=TRUE,I31&lt;&gt;"", modify!$K$3&gt;0),
        "; cleaning process"&amp;
         CHAR(10)&amp;
         calc2!$C$8 &amp;
          REPT(
               CHAR(10)&amp;
               calc2!$C$8, modify!$K$3-1),
      "")</f>
        <v/>
      </c>
      <c r="N30" s="71" t="str">
        <f>IF(calc3!I30=TRUE,
      CHAR(10)&amp;
      "; Spot No."&amp;B30&amp;
      CHAR(10)&amp;
             IF(K30="", "", K30)&amp;                        REPLACE(N("rack"),1,1,"")&amp;CHAR(10)&amp;
             IF(calc2!$A$5="","",calc2!$A$5)&amp;        REPLACE(N("retraction"),1,1,"")&amp;CHAR(10)&amp;
             IF(L30="", "", L30)&amp;                           REPLACE(N("TLC"),1,1,"")&amp;CHAR(10)&amp;
             IF(calc2!$B$5="","",calc2!$B$5)&amp;         REPLACE(N("extrusion"),1,1,"")&amp;CHAR(10)&amp;
             IF(calc2!$C$5="","",calc2!$C$5)&amp;         REPLACE(N("waste"),1,1,"")&amp;CHAR(10)&amp;
             IF(M30="", "", M30)&amp;                          REPLACE(N("cleaning process"),1,1,""),
      "")</f>
        <v/>
      </c>
    </row>
    <row r="31" spans="1:14" ht="14.65" customHeight="1">
      <c r="A31" s="19">
        <v>30</v>
      </c>
      <c r="B31" s="69" t="str">
        <f>IF(calc3!I31=TRUE,
      COUNTIF(calc3!$I$2:I31,TRUE),
      "")</f>
        <v/>
      </c>
      <c r="C31" s="44" t="str">
        <f>IF(calc3!I31=TRUE,ROUNDUP(calc3!A31/calc1!$N$3,0),"")</f>
        <v/>
      </c>
      <c r="D31" s="69" t="str">
        <f>IF(calc3!I31=TRUE,MOD((calc3!A31-1),calc1!$N$3),"")</f>
        <v/>
      </c>
      <c r="E31" s="23" t="str">
        <f>IF(AND(calc3!I31=TRUE,
                         C31&lt;=calc1!$O$3),
      INT((calc3!A31-1)/calc1!$N$3)*calc1!$H$5+calc1!$P$3,
      "")</f>
        <v/>
      </c>
      <c r="F31" s="69" t="str">
        <f>IF(AND(calc3!I31=TRUE,
                        C31&lt;=calc1!$O$3),
      IF(
            calc1!$N$3=1,
                  calc1!$Q$3,
            IF(modify!$B$3="s-shape, starting at back left corner",
                  IF(ISODD(C31),
                             calc1!Q$3+D31*calc1!$H$4,
                              calc1!$S$3-D31*calc1!$H$4),
           IF(modify!$B$3="s-shape, starting at front left corner",
                  IF(ISEVEN(C31),
                              calc1!$Q$3+D31*calc1!$H$4,
                              calc1!$S$3-D31*calc1!$H$4),
            IF(modify!$B$3="non alternating, starting at back left corner",
                  calc1!$Q$3+D31*calc1!$H$4,
            IF(modify!$B$3="non alternating, starting at front left corner",
                  calc1!$S$3-D31*calc1!$H$4,
      ""))))),"")</f>
        <v/>
      </c>
      <c r="G31" s="23" t="str">
        <f>IF(calc3!I31=TRUE,
      IF(
            calc3!B31&lt;=calc1!$E$3,
                  calc1!$N$6-initialize!$Q$2/(calc1!$E$3+1)*calc3!B31,
            IF(calc3!B31&lt;=calc1!$E$3+calc1!$E$4,
                  calc1!$N$6-initialize!$Q$2/(calc1!$E$4+1)*(calc3!B31-calc1!$E$3)-calc1!$E$2-initialize!$Q$2,
           IF(calc3!B31&lt;=calc1!$H$3,
                  calc1!$N$6-initialize!$Q$2/(calc1!$E$5+1)*(calc3!B31-calc1!$E$3-calc1!$E$4)-(calc1!$E$2+initialize!$Q$2)*2,""))),"")</f>
        <v/>
      </c>
      <c r="H31" s="69" t="str">
        <f>IF(AND(calc3!I31=TRUE,
                         ROUNDUP(calc3!A31/calc1!$N$3,0)&lt;=calc1!$O$3),
      calc1!$O$6-initialize!$Q$3,
      "")</f>
        <v/>
      </c>
      <c r="I31" s="23" t="str">
        <f>IF(AND(calc3!A31&gt;0,
                         calc3!A31&lt;=calc1!$H$2),
      IF(MOD(calc3!A31-1,modify!$B$6)=0,
            TRUE,
            FALSE),
      "")</f>
        <v/>
      </c>
      <c r="J31" s="69" t="str">
        <f>IF(I31=TRUE,
      IF(MOD(calc3!B31,modify!$K$2)=0,
            TRUE,
            FALSE),
      "")</f>
        <v/>
      </c>
      <c r="K31" s="20" t="str">
        <f>IF(I31=TRUE,
   "G0"&amp;
      " Z"&amp;calc1!$U$3&amp;
      " F"&amp; initialize!$W$3&amp;
      CHAR(10)&amp;
    "G0"&amp;
      " X"&amp;E31&amp;
      " Y"&amp;F31&amp;
      " F"&amp; initialize!$W$2&amp;
       REPT(CHAR(9),4)&amp;
       "; move to sample No. "&amp;A31&amp;
      CHAR(10)&amp;
   "G0"&amp;
      " Z"&amp;calc1!$T$3&amp;
      " F"&amp;initialize!$W$3,
 "")</f>
        <v/>
      </c>
      <c r="L31" s="71" t="str">
        <f>IF(calc3!I31=TRUE,
   "G0 "&amp;
      "Z"&amp;calc1!$U$3 &amp;
      " F"&amp;initialize!$W$3&amp;
      CHAR(10)&amp;
   "G0"&amp;
      " X"&amp;calc3!G31&amp;
      " Y"&amp;H31&amp;
      " F"&amp;initialize!$W$2&amp;
       REPT(CHAR(9),4)&amp;
       "; move to spot No."&amp;B31&amp;
      CHAR(10)&amp;
   "G0"&amp;
      " Z"&amp;calc1!$P$6+initialize!$Q$4&amp;
      " F"&amp;initialize!$W$3&amp;
       REPT(CHAR(9),5)&amp;
       "; decrease z-velocity for contact with TLC"&amp;
      CHAR(10)&amp;
   "G0"&amp;
      " Z"&amp;calc1!$P$6&amp;
      " F"&amp;initialize!$W$4,
  "")</f>
        <v/>
      </c>
      <c r="M31" s="20" t="str">
        <f>IF(AND(calc3!J31=TRUE,I32&lt;&gt;"", modify!$K$3&gt;0),
        "; cleaning process"&amp;
         CHAR(10)&amp;
         calc2!$C$8 &amp;
          REPT(
               CHAR(10)&amp;
               calc2!$C$8, modify!$K$3-1),
      "")</f>
        <v/>
      </c>
      <c r="N31" s="71" t="str">
        <f>IF(calc3!I31=TRUE,
      CHAR(10)&amp;
      "; Spot No."&amp;B31&amp;
      CHAR(10)&amp;
             IF(K31="", "", K31)&amp;                        REPLACE(N("rack"),1,1,"")&amp;CHAR(10)&amp;
             IF(calc2!$A$5="","",calc2!$A$5)&amp;        REPLACE(N("retraction"),1,1,"")&amp;CHAR(10)&amp;
             IF(L31="", "", L31)&amp;                           REPLACE(N("TLC"),1,1,"")&amp;CHAR(10)&amp;
             IF(calc2!$B$5="","",calc2!$B$5)&amp;         REPLACE(N("extrusion"),1,1,"")&amp;CHAR(10)&amp;
             IF(calc2!$C$5="","",calc2!$C$5)&amp;         REPLACE(N("waste"),1,1,"")&amp;CHAR(10)&amp;
             IF(M31="", "", M31)&amp;                          REPLACE(N("cleaning process"),1,1,""),
      "")</f>
        <v/>
      </c>
    </row>
    <row r="32" spans="1:14" ht="14.65" customHeight="1">
      <c r="A32" s="19">
        <v>31</v>
      </c>
      <c r="B32" s="69" t="str">
        <f>IF(calc3!I32=TRUE,
      COUNTIF(calc3!$I$2:I32,TRUE),
      "")</f>
        <v/>
      </c>
      <c r="C32" s="44" t="str">
        <f>IF(calc3!I32=TRUE,ROUNDUP(calc3!A32/calc1!$N$3,0),"")</f>
        <v/>
      </c>
      <c r="D32" s="69" t="str">
        <f>IF(calc3!I32=TRUE,MOD((calc3!A32-1),calc1!$N$3),"")</f>
        <v/>
      </c>
      <c r="E32" s="23" t="str">
        <f>IF(AND(calc3!I32=TRUE,
                         C32&lt;=calc1!$O$3),
      INT((calc3!A32-1)/calc1!$N$3)*calc1!$H$5+calc1!$P$3,
      "")</f>
        <v/>
      </c>
      <c r="F32" s="69" t="str">
        <f>IF(AND(calc3!I32=TRUE,
                        C32&lt;=calc1!$O$3),
      IF(
            calc1!$N$3=1,
                  calc1!$Q$3,
            IF(modify!$B$3="s-shape, starting at back left corner",
                  IF(ISODD(C32),
                             calc1!Q$3+D32*calc1!$H$4,
                              calc1!$S$3-D32*calc1!$H$4),
           IF(modify!$B$3="s-shape, starting at front left corner",
                  IF(ISEVEN(C32),
                              calc1!$Q$3+D32*calc1!$H$4,
                              calc1!$S$3-D32*calc1!$H$4),
            IF(modify!$B$3="non alternating, starting at back left corner",
                  calc1!$Q$3+D32*calc1!$H$4,
            IF(modify!$B$3="non alternating, starting at front left corner",
                  calc1!$S$3-D32*calc1!$H$4,
      ""))))),"")</f>
        <v/>
      </c>
      <c r="G32" s="23" t="str">
        <f>IF(calc3!I32=TRUE,
      IF(
            calc3!B32&lt;=calc1!$E$3,
                  calc1!$N$6-initialize!$Q$2/(calc1!$E$3+1)*calc3!B32,
            IF(calc3!B32&lt;=calc1!$E$3+calc1!$E$4,
                  calc1!$N$6-initialize!$Q$2/(calc1!$E$4+1)*(calc3!B32-calc1!$E$3)-calc1!$E$2-initialize!$Q$2,
           IF(calc3!B32&lt;=calc1!$H$3,
                  calc1!$N$6-initialize!$Q$2/(calc1!$E$5+1)*(calc3!B32-calc1!$E$3-calc1!$E$4)-(calc1!$E$2+initialize!$Q$2)*2,""))),"")</f>
        <v/>
      </c>
      <c r="H32" s="69" t="str">
        <f>IF(AND(calc3!I32=TRUE,
                         ROUNDUP(calc3!A32/calc1!$N$3,0)&lt;=calc1!$O$3),
      calc1!$O$6-initialize!$Q$3,
      "")</f>
        <v/>
      </c>
      <c r="I32" s="23" t="str">
        <f>IF(AND(calc3!A32&gt;0,
                         calc3!A32&lt;=calc1!$H$2),
      IF(MOD(calc3!A32-1,modify!$B$6)=0,
            TRUE,
            FALSE),
      "")</f>
        <v/>
      </c>
      <c r="J32" s="69" t="str">
        <f>IF(I32=TRUE,
      IF(MOD(calc3!B32,modify!$K$2)=0,
            TRUE,
            FALSE),
      "")</f>
        <v/>
      </c>
      <c r="K32" s="20" t="str">
        <f>IF(I32=TRUE,
   "G0"&amp;
      " Z"&amp;calc1!$U$3&amp;
      " F"&amp; initialize!$W$3&amp;
      CHAR(10)&amp;
    "G0"&amp;
      " X"&amp;E32&amp;
      " Y"&amp;F32&amp;
      " F"&amp; initialize!$W$2&amp;
       REPT(CHAR(9),4)&amp;
       "; move to sample No. "&amp;A32&amp;
      CHAR(10)&amp;
   "G0"&amp;
      " Z"&amp;calc1!$T$3&amp;
      " F"&amp;initialize!$W$3,
 "")</f>
        <v/>
      </c>
      <c r="L32" s="71" t="str">
        <f>IF(calc3!I32=TRUE,
   "G0 "&amp;
      "Z"&amp;calc1!$U$3 &amp;
      " F"&amp;initialize!$W$3&amp;
      CHAR(10)&amp;
   "G0"&amp;
      " X"&amp;calc3!G32&amp;
      " Y"&amp;H32&amp;
      " F"&amp;initialize!$W$2&amp;
       REPT(CHAR(9),4)&amp;
       "; move to spot No."&amp;B32&amp;
      CHAR(10)&amp;
   "G0"&amp;
      " Z"&amp;calc1!$P$6+initialize!$Q$4&amp;
      " F"&amp;initialize!$W$3&amp;
       REPT(CHAR(9),5)&amp;
       "; decrease z-velocity for contact with TLC"&amp;
      CHAR(10)&amp;
   "G0"&amp;
      " Z"&amp;calc1!$P$6&amp;
      " F"&amp;initialize!$W$4,
  "")</f>
        <v/>
      </c>
      <c r="M32" s="20" t="str">
        <f>IF(AND(calc3!J32=TRUE,I33&lt;&gt;"", modify!$K$3&gt;0),
        "; cleaning process"&amp;
         CHAR(10)&amp;
         calc2!$C$8 &amp;
          REPT(
               CHAR(10)&amp;
               calc2!$C$8, modify!$K$3-1),
      "")</f>
        <v/>
      </c>
      <c r="N32" s="71" t="str">
        <f>IF(calc3!I32=TRUE,
      CHAR(10)&amp;
      "; Spot No."&amp;B32&amp;
      CHAR(10)&amp;
             IF(K32="", "", K32)&amp;                        REPLACE(N("rack"),1,1,"")&amp;CHAR(10)&amp;
             IF(calc2!$A$5="","",calc2!$A$5)&amp;        REPLACE(N("retraction"),1,1,"")&amp;CHAR(10)&amp;
             IF(L32="", "", L32)&amp;                           REPLACE(N("TLC"),1,1,"")&amp;CHAR(10)&amp;
             IF(calc2!$B$5="","",calc2!$B$5)&amp;         REPLACE(N("extrusion"),1,1,"")&amp;CHAR(10)&amp;
             IF(calc2!$C$5="","",calc2!$C$5)&amp;         REPLACE(N("waste"),1,1,"")&amp;CHAR(10)&amp;
             IF(M32="", "", M32)&amp;                          REPLACE(N("cleaning process"),1,1,""),
      "")</f>
        <v/>
      </c>
    </row>
    <row r="33" spans="1:14" ht="14.65" customHeight="1">
      <c r="A33" s="19">
        <v>32</v>
      </c>
      <c r="B33" s="69" t="str">
        <f>IF(calc3!I33=TRUE,
      COUNTIF(calc3!$I$2:I33,TRUE),
      "")</f>
        <v/>
      </c>
      <c r="C33" s="44" t="str">
        <f>IF(calc3!I33=TRUE,ROUNDUP(calc3!A33/calc1!$N$3,0),"")</f>
        <v/>
      </c>
      <c r="D33" s="69" t="str">
        <f>IF(calc3!I33=TRUE,MOD((calc3!A33-1),calc1!$N$3),"")</f>
        <v/>
      </c>
      <c r="E33" s="23" t="str">
        <f>IF(AND(calc3!I33=TRUE,
                         C33&lt;=calc1!$O$3),
      INT((calc3!A33-1)/calc1!$N$3)*calc1!$H$5+calc1!$P$3,
      "")</f>
        <v/>
      </c>
      <c r="F33" s="69" t="str">
        <f>IF(AND(calc3!I33=TRUE,
                        C33&lt;=calc1!$O$3),
      IF(
            calc1!$N$3=1,
                  calc1!$Q$3,
            IF(modify!$B$3="s-shape, starting at back left corner",
                  IF(ISODD(C33),
                             calc1!Q$3+D33*calc1!$H$4,
                              calc1!$S$3-D33*calc1!$H$4),
           IF(modify!$B$3="s-shape, starting at front left corner",
                  IF(ISEVEN(C33),
                              calc1!$Q$3+D33*calc1!$H$4,
                              calc1!$S$3-D33*calc1!$H$4),
            IF(modify!$B$3="non alternating, starting at back left corner",
                  calc1!$Q$3+D33*calc1!$H$4,
            IF(modify!$B$3="non alternating, starting at front left corner",
                  calc1!$S$3-D33*calc1!$H$4,
      ""))))),"")</f>
        <v/>
      </c>
      <c r="G33" s="23" t="str">
        <f>IF(calc3!I33=TRUE,
      IF(
            calc3!B33&lt;=calc1!$E$3,
                  calc1!$N$6-initialize!$Q$2/(calc1!$E$3+1)*calc3!B33,
            IF(calc3!B33&lt;=calc1!$E$3+calc1!$E$4,
                  calc1!$N$6-initialize!$Q$2/(calc1!$E$4+1)*(calc3!B33-calc1!$E$3)-calc1!$E$2-initialize!$Q$2,
           IF(calc3!B33&lt;=calc1!$H$3,
                  calc1!$N$6-initialize!$Q$2/(calc1!$E$5+1)*(calc3!B33-calc1!$E$3-calc1!$E$4)-(calc1!$E$2+initialize!$Q$2)*2,""))),"")</f>
        <v/>
      </c>
      <c r="H33" s="69" t="str">
        <f>IF(AND(calc3!I33=TRUE,
                         ROUNDUP(calc3!A33/calc1!$N$3,0)&lt;=calc1!$O$3),
      calc1!$O$6-initialize!$Q$3,
      "")</f>
        <v/>
      </c>
      <c r="I33" s="23" t="str">
        <f>IF(AND(calc3!A33&gt;0,
                         calc3!A33&lt;=calc1!$H$2),
      IF(MOD(calc3!A33-1,modify!$B$6)=0,
            TRUE,
            FALSE),
      "")</f>
        <v/>
      </c>
      <c r="J33" s="69" t="str">
        <f>IF(I33=TRUE,
      IF(MOD(calc3!B33,modify!$K$2)=0,
            TRUE,
            FALSE),
      "")</f>
        <v/>
      </c>
      <c r="K33" s="20" t="str">
        <f>IF(I33=TRUE,
   "G0"&amp;
      " Z"&amp;calc1!$U$3&amp;
      " F"&amp; initialize!$W$3&amp;
      CHAR(10)&amp;
    "G0"&amp;
      " X"&amp;E33&amp;
      " Y"&amp;F33&amp;
      " F"&amp; initialize!$W$2&amp;
       REPT(CHAR(9),4)&amp;
       "; move to sample No. "&amp;A33&amp;
      CHAR(10)&amp;
   "G0"&amp;
      " Z"&amp;calc1!$T$3&amp;
      " F"&amp;initialize!$W$3,
 "")</f>
        <v/>
      </c>
      <c r="L33" s="71" t="str">
        <f>IF(calc3!I33=TRUE,
   "G0 "&amp;
      "Z"&amp;calc1!$U$3 &amp;
      " F"&amp;initialize!$W$3&amp;
      CHAR(10)&amp;
   "G0"&amp;
      " X"&amp;calc3!G33&amp;
      " Y"&amp;H33&amp;
      " F"&amp;initialize!$W$2&amp;
       REPT(CHAR(9),4)&amp;
       "; move to spot No."&amp;B33&amp;
      CHAR(10)&amp;
   "G0"&amp;
      " Z"&amp;calc1!$P$6+initialize!$Q$4&amp;
      " F"&amp;initialize!$W$3&amp;
       REPT(CHAR(9),5)&amp;
       "; decrease z-velocity for contact with TLC"&amp;
      CHAR(10)&amp;
   "G0"&amp;
      " Z"&amp;calc1!$P$6&amp;
      " F"&amp;initialize!$W$4,
  "")</f>
        <v/>
      </c>
      <c r="M33" s="20" t="str">
        <f>IF(AND(calc3!J33=TRUE,I34&lt;&gt;"", modify!$K$3&gt;0),
        "; cleaning process"&amp;
         CHAR(10)&amp;
         calc2!$C$8 &amp;
          REPT(
               CHAR(10)&amp;
               calc2!$C$8, modify!$K$3-1),
      "")</f>
        <v/>
      </c>
      <c r="N33" s="71" t="str">
        <f>IF(calc3!I33=TRUE,
      CHAR(10)&amp;
      "; Spot No."&amp;B33&amp;
      CHAR(10)&amp;
             IF(K33="", "", K33)&amp;                        REPLACE(N("rack"),1,1,"")&amp;CHAR(10)&amp;
             IF(calc2!$A$5="","",calc2!$A$5)&amp;        REPLACE(N("retraction"),1,1,"")&amp;CHAR(10)&amp;
             IF(L33="", "", L33)&amp;                           REPLACE(N("TLC"),1,1,"")&amp;CHAR(10)&amp;
             IF(calc2!$B$5="","",calc2!$B$5)&amp;         REPLACE(N("extrusion"),1,1,"")&amp;CHAR(10)&amp;
             IF(calc2!$C$5="","",calc2!$C$5)&amp;         REPLACE(N("waste"),1,1,"")&amp;CHAR(10)&amp;
             IF(M33="", "", M33)&amp;                          REPLACE(N("cleaning process"),1,1,""),
      "")</f>
        <v/>
      </c>
    </row>
    <row r="34" spans="1:14" ht="14.65" customHeight="1">
      <c r="A34" s="19">
        <v>33</v>
      </c>
      <c r="B34" s="69" t="str">
        <f>IF(calc3!I34=TRUE,
      COUNTIF(calc3!$I$2:I34,TRUE),
      "")</f>
        <v/>
      </c>
      <c r="C34" s="44" t="str">
        <f>IF(calc3!I34=TRUE,ROUNDUP(calc3!A34/calc1!$N$3,0),"")</f>
        <v/>
      </c>
      <c r="D34" s="69" t="str">
        <f>IF(calc3!I34=TRUE,MOD((calc3!A34-1),calc1!$N$3),"")</f>
        <v/>
      </c>
      <c r="E34" s="23" t="str">
        <f>IF(AND(calc3!I34=TRUE,
                         C34&lt;=calc1!$O$3),
      INT((calc3!A34-1)/calc1!$N$3)*calc1!$H$5+calc1!$P$3,
      "")</f>
        <v/>
      </c>
      <c r="F34" s="69" t="str">
        <f>IF(AND(calc3!I34=TRUE,
                        C34&lt;=calc1!$O$3),
      IF(
            calc1!$N$3=1,
                  calc1!$Q$3,
            IF(modify!$B$3="s-shape, starting at back left corner",
                  IF(ISODD(C34),
                             calc1!Q$3+D34*calc1!$H$4,
                              calc1!$S$3-D34*calc1!$H$4),
           IF(modify!$B$3="s-shape, starting at front left corner",
                  IF(ISEVEN(C34),
                              calc1!$Q$3+D34*calc1!$H$4,
                              calc1!$S$3-D34*calc1!$H$4),
            IF(modify!$B$3="non alternating, starting at back left corner",
                  calc1!$Q$3+D34*calc1!$H$4,
            IF(modify!$B$3="non alternating, starting at front left corner",
                  calc1!$S$3-D34*calc1!$H$4,
      ""))))),"")</f>
        <v/>
      </c>
      <c r="G34" s="23" t="str">
        <f>IF(calc3!I34=TRUE,
      IF(
            calc3!B34&lt;=calc1!$E$3,
                  calc1!$N$6-initialize!$Q$2/(calc1!$E$3+1)*calc3!B34,
            IF(calc3!B34&lt;=calc1!$E$3+calc1!$E$4,
                  calc1!$N$6-initialize!$Q$2/(calc1!$E$4+1)*(calc3!B34-calc1!$E$3)-calc1!$E$2-initialize!$Q$2,
           IF(calc3!B34&lt;=calc1!$H$3,
                  calc1!$N$6-initialize!$Q$2/(calc1!$E$5+1)*(calc3!B34-calc1!$E$3-calc1!$E$4)-(calc1!$E$2+initialize!$Q$2)*2,""))),"")</f>
        <v/>
      </c>
      <c r="H34" s="69" t="str">
        <f>IF(AND(calc3!I34=TRUE,
                         ROUNDUP(calc3!A34/calc1!$N$3,0)&lt;=calc1!$O$3),
      calc1!$O$6-initialize!$Q$3,
      "")</f>
        <v/>
      </c>
      <c r="I34" s="23" t="str">
        <f>IF(AND(calc3!A34&gt;0,
                         calc3!A34&lt;=calc1!$H$2),
      IF(MOD(calc3!A34-1,modify!$B$6)=0,
            TRUE,
            FALSE),
      "")</f>
        <v/>
      </c>
      <c r="J34" s="69" t="str">
        <f>IF(I34=TRUE,
      IF(MOD(calc3!B34,modify!$K$2)=0,
            TRUE,
            FALSE),
      "")</f>
        <v/>
      </c>
      <c r="K34" s="20" t="str">
        <f>IF(I34=TRUE,
   "G0"&amp;
      " Z"&amp;calc1!$U$3&amp;
      " F"&amp; initialize!$W$3&amp;
      CHAR(10)&amp;
    "G0"&amp;
      " X"&amp;E34&amp;
      " Y"&amp;F34&amp;
      " F"&amp; initialize!$W$2&amp;
       REPT(CHAR(9),4)&amp;
       "; move to sample No. "&amp;A34&amp;
      CHAR(10)&amp;
   "G0"&amp;
      " Z"&amp;calc1!$T$3&amp;
      " F"&amp;initialize!$W$3,
 "")</f>
        <v/>
      </c>
      <c r="L34" s="71" t="str">
        <f>IF(calc3!I34=TRUE,
   "G0 "&amp;
      "Z"&amp;calc1!$U$3 &amp;
      " F"&amp;initialize!$W$3&amp;
      CHAR(10)&amp;
   "G0"&amp;
      " X"&amp;calc3!G34&amp;
      " Y"&amp;H34&amp;
      " F"&amp;initialize!$W$2&amp;
       REPT(CHAR(9),4)&amp;
       "; move to spot No."&amp;B34&amp;
      CHAR(10)&amp;
   "G0"&amp;
      " Z"&amp;calc1!$P$6+initialize!$Q$4&amp;
      " F"&amp;initialize!$W$3&amp;
       REPT(CHAR(9),5)&amp;
       "; decrease z-velocity for contact with TLC"&amp;
      CHAR(10)&amp;
   "G0"&amp;
      " Z"&amp;calc1!$P$6&amp;
      " F"&amp;initialize!$W$4,
  "")</f>
        <v/>
      </c>
      <c r="M34" s="20" t="str">
        <f>IF(AND(calc3!J34=TRUE,I35&lt;&gt;"", modify!$K$3&gt;0),
        "; cleaning process"&amp;
         CHAR(10)&amp;
         calc2!$C$8 &amp;
          REPT(
               CHAR(10)&amp;
               calc2!$C$8, modify!$K$3-1),
      "")</f>
        <v/>
      </c>
      <c r="N34" s="71" t="str">
        <f>IF(calc3!I34=TRUE,
      CHAR(10)&amp;
      "; Spot No."&amp;B34&amp;
      CHAR(10)&amp;
             IF(K34="", "", K34)&amp;                        REPLACE(N("rack"),1,1,"")&amp;CHAR(10)&amp;
             IF(calc2!$A$5="","",calc2!$A$5)&amp;        REPLACE(N("retraction"),1,1,"")&amp;CHAR(10)&amp;
             IF(L34="", "", L34)&amp;                           REPLACE(N("TLC"),1,1,"")&amp;CHAR(10)&amp;
             IF(calc2!$B$5="","",calc2!$B$5)&amp;         REPLACE(N("extrusion"),1,1,"")&amp;CHAR(10)&amp;
             IF(calc2!$C$5="","",calc2!$C$5)&amp;         REPLACE(N("waste"),1,1,"")&amp;CHAR(10)&amp;
             IF(M34="", "", M34)&amp;                          REPLACE(N("cleaning process"),1,1,""),
      "")</f>
        <v/>
      </c>
    </row>
    <row r="35" spans="1:14" ht="14.65" customHeight="1">
      <c r="A35" s="19">
        <v>34</v>
      </c>
      <c r="B35" s="69" t="str">
        <f>IF(calc3!I35=TRUE,
      COUNTIF(calc3!$I$2:I35,TRUE),
      "")</f>
        <v/>
      </c>
      <c r="C35" s="44" t="str">
        <f>IF(calc3!I35=TRUE,ROUNDUP(calc3!A35/calc1!$N$3,0),"")</f>
        <v/>
      </c>
      <c r="D35" s="69" t="str">
        <f>IF(calc3!I35=TRUE,MOD((calc3!A35-1),calc1!$N$3),"")</f>
        <v/>
      </c>
      <c r="E35" s="23" t="str">
        <f>IF(AND(calc3!I35=TRUE,
                         C35&lt;=calc1!$O$3),
      INT((calc3!A35-1)/calc1!$N$3)*calc1!$H$5+calc1!$P$3,
      "")</f>
        <v/>
      </c>
      <c r="F35" s="69" t="str">
        <f>IF(AND(calc3!I35=TRUE,
                        C35&lt;=calc1!$O$3),
      IF(
            calc1!$N$3=1,
                  calc1!$Q$3,
            IF(modify!$B$3="s-shape, starting at back left corner",
                  IF(ISODD(C35),
                             calc1!Q$3+D35*calc1!$H$4,
                              calc1!$S$3-D35*calc1!$H$4),
           IF(modify!$B$3="s-shape, starting at front left corner",
                  IF(ISEVEN(C35),
                              calc1!$Q$3+D35*calc1!$H$4,
                              calc1!$S$3-D35*calc1!$H$4),
            IF(modify!$B$3="non alternating, starting at back left corner",
                  calc1!$Q$3+D35*calc1!$H$4,
            IF(modify!$B$3="non alternating, starting at front left corner",
                  calc1!$S$3-D35*calc1!$H$4,
      ""))))),"")</f>
        <v/>
      </c>
      <c r="G35" s="23" t="str">
        <f>IF(calc3!I35=TRUE,
      IF(
            calc3!B35&lt;=calc1!$E$3,
                  calc1!$N$6-initialize!$Q$2/(calc1!$E$3+1)*calc3!B35,
            IF(calc3!B35&lt;=calc1!$E$3+calc1!$E$4,
                  calc1!$N$6-initialize!$Q$2/(calc1!$E$4+1)*(calc3!B35-calc1!$E$3)-calc1!$E$2-initialize!$Q$2,
           IF(calc3!B35&lt;=calc1!$H$3,
                  calc1!$N$6-initialize!$Q$2/(calc1!$E$5+1)*(calc3!B35-calc1!$E$3-calc1!$E$4)-(calc1!$E$2+initialize!$Q$2)*2,""))),"")</f>
        <v/>
      </c>
      <c r="H35" s="69" t="str">
        <f>IF(AND(calc3!I35=TRUE,
                         ROUNDUP(calc3!A35/calc1!$N$3,0)&lt;=calc1!$O$3),
      calc1!$O$6-initialize!$Q$3,
      "")</f>
        <v/>
      </c>
      <c r="I35" s="23" t="str">
        <f>IF(AND(calc3!A35&gt;0,
                         calc3!A35&lt;=calc1!$H$2),
      IF(MOD(calc3!A35-1,modify!$B$6)=0,
            TRUE,
            FALSE),
      "")</f>
        <v/>
      </c>
      <c r="J35" s="69" t="str">
        <f>IF(I35=TRUE,
      IF(MOD(calc3!B35,modify!$K$2)=0,
            TRUE,
            FALSE),
      "")</f>
        <v/>
      </c>
      <c r="K35" s="20" t="str">
        <f>IF(I35=TRUE,
   "G0"&amp;
      " Z"&amp;calc1!$U$3&amp;
      " F"&amp; initialize!$W$3&amp;
      CHAR(10)&amp;
    "G0"&amp;
      " X"&amp;E35&amp;
      " Y"&amp;F35&amp;
      " F"&amp; initialize!$W$2&amp;
       REPT(CHAR(9),4)&amp;
       "; move to sample No. "&amp;A35&amp;
      CHAR(10)&amp;
   "G0"&amp;
      " Z"&amp;calc1!$T$3&amp;
      " F"&amp;initialize!$W$3,
 "")</f>
        <v/>
      </c>
      <c r="L35" s="71" t="str">
        <f>IF(calc3!I35=TRUE,
   "G0 "&amp;
      "Z"&amp;calc1!$U$3 &amp;
      " F"&amp;initialize!$W$3&amp;
      CHAR(10)&amp;
   "G0"&amp;
      " X"&amp;calc3!G35&amp;
      " Y"&amp;H35&amp;
      " F"&amp;initialize!$W$2&amp;
       REPT(CHAR(9),4)&amp;
       "; move to spot No."&amp;B35&amp;
      CHAR(10)&amp;
   "G0"&amp;
      " Z"&amp;calc1!$P$6+initialize!$Q$4&amp;
      " F"&amp;initialize!$W$3&amp;
       REPT(CHAR(9),5)&amp;
       "; decrease z-velocity for contact with TLC"&amp;
      CHAR(10)&amp;
   "G0"&amp;
      " Z"&amp;calc1!$P$6&amp;
      " F"&amp;initialize!$W$4,
  "")</f>
        <v/>
      </c>
      <c r="M35" s="20" t="str">
        <f>IF(AND(calc3!J35=TRUE,I36&lt;&gt;"", modify!$K$3&gt;0),
        "; cleaning process"&amp;
         CHAR(10)&amp;
         calc2!$C$8 &amp;
          REPT(
               CHAR(10)&amp;
               calc2!$C$8, modify!$K$3-1),
      "")</f>
        <v/>
      </c>
      <c r="N35" s="71" t="str">
        <f>IF(calc3!I35=TRUE,
      CHAR(10)&amp;
      "; Spot No."&amp;B35&amp;
      CHAR(10)&amp;
             IF(K35="", "", K35)&amp;                        REPLACE(N("rack"),1,1,"")&amp;CHAR(10)&amp;
             IF(calc2!$A$5="","",calc2!$A$5)&amp;        REPLACE(N("retraction"),1,1,"")&amp;CHAR(10)&amp;
             IF(L35="", "", L35)&amp;                           REPLACE(N("TLC"),1,1,"")&amp;CHAR(10)&amp;
             IF(calc2!$B$5="","",calc2!$B$5)&amp;         REPLACE(N("extrusion"),1,1,"")&amp;CHAR(10)&amp;
             IF(calc2!$C$5="","",calc2!$C$5)&amp;         REPLACE(N("waste"),1,1,"")&amp;CHAR(10)&amp;
             IF(M35="", "", M35)&amp;                          REPLACE(N("cleaning process"),1,1,""),
      "")</f>
        <v/>
      </c>
    </row>
    <row r="36" spans="1:14" ht="14.65" customHeight="1">
      <c r="A36" s="19">
        <v>35</v>
      </c>
      <c r="B36" s="69" t="str">
        <f>IF(calc3!I36=TRUE,
      COUNTIF(calc3!$I$2:I36,TRUE),
      "")</f>
        <v/>
      </c>
      <c r="C36" s="44" t="str">
        <f>IF(calc3!I36=TRUE,ROUNDUP(calc3!A36/calc1!$N$3,0),"")</f>
        <v/>
      </c>
      <c r="D36" s="69" t="str">
        <f>IF(calc3!I36=TRUE,MOD((calc3!A36-1),calc1!$N$3),"")</f>
        <v/>
      </c>
      <c r="E36" s="23" t="str">
        <f>IF(AND(calc3!I36=TRUE,
                         C36&lt;=calc1!$O$3),
      INT((calc3!A36-1)/calc1!$N$3)*calc1!$H$5+calc1!$P$3,
      "")</f>
        <v/>
      </c>
      <c r="F36" s="69" t="str">
        <f>IF(AND(calc3!I36=TRUE,
                        C36&lt;=calc1!$O$3),
      IF(
            calc1!$N$3=1,
                  calc1!$Q$3,
            IF(modify!$B$3="s-shape, starting at back left corner",
                  IF(ISODD(C36),
                             calc1!Q$3+D36*calc1!$H$4,
                              calc1!$S$3-D36*calc1!$H$4),
           IF(modify!$B$3="s-shape, starting at front left corner",
                  IF(ISEVEN(C36),
                              calc1!$Q$3+D36*calc1!$H$4,
                              calc1!$S$3-D36*calc1!$H$4),
            IF(modify!$B$3="non alternating, starting at back left corner",
                  calc1!$Q$3+D36*calc1!$H$4,
            IF(modify!$B$3="non alternating, starting at front left corner",
                  calc1!$S$3-D36*calc1!$H$4,
      ""))))),"")</f>
        <v/>
      </c>
      <c r="G36" s="23" t="str">
        <f>IF(calc3!I36=TRUE,
      IF(
            calc3!B36&lt;=calc1!$E$3,
                  calc1!$N$6-initialize!$Q$2/(calc1!$E$3+1)*calc3!B36,
            IF(calc3!B36&lt;=calc1!$E$3+calc1!$E$4,
                  calc1!$N$6-initialize!$Q$2/(calc1!$E$4+1)*(calc3!B36-calc1!$E$3)-calc1!$E$2-initialize!$Q$2,
           IF(calc3!B36&lt;=calc1!$H$3,
                  calc1!$N$6-initialize!$Q$2/(calc1!$E$5+1)*(calc3!B36-calc1!$E$3-calc1!$E$4)-(calc1!$E$2+initialize!$Q$2)*2,""))),"")</f>
        <v/>
      </c>
      <c r="H36" s="69" t="str">
        <f>IF(AND(calc3!I36=TRUE,
                         ROUNDUP(calc3!A36/calc1!$N$3,0)&lt;=calc1!$O$3),
      calc1!$O$6-initialize!$Q$3,
      "")</f>
        <v/>
      </c>
      <c r="I36" s="23" t="str">
        <f>IF(AND(calc3!A36&gt;0,
                         calc3!A36&lt;=calc1!$H$2),
      IF(MOD(calc3!A36-1,modify!$B$6)=0,
            TRUE,
            FALSE),
      "")</f>
        <v/>
      </c>
      <c r="J36" s="69" t="str">
        <f>IF(I36=TRUE,
      IF(MOD(calc3!B36,modify!$K$2)=0,
            TRUE,
            FALSE),
      "")</f>
        <v/>
      </c>
      <c r="K36" s="20" t="str">
        <f>IF(I36=TRUE,
   "G0"&amp;
      " Z"&amp;calc1!$U$3&amp;
      " F"&amp; initialize!$W$3&amp;
      CHAR(10)&amp;
    "G0"&amp;
      " X"&amp;E36&amp;
      " Y"&amp;F36&amp;
      " F"&amp; initialize!$W$2&amp;
       REPT(CHAR(9),4)&amp;
       "; move to sample No. "&amp;A36&amp;
      CHAR(10)&amp;
   "G0"&amp;
      " Z"&amp;calc1!$T$3&amp;
      " F"&amp;initialize!$W$3,
 "")</f>
        <v/>
      </c>
      <c r="L36" s="71" t="str">
        <f>IF(calc3!I36=TRUE,
   "G0 "&amp;
      "Z"&amp;calc1!$U$3 &amp;
      " F"&amp;initialize!$W$3&amp;
      CHAR(10)&amp;
   "G0"&amp;
      " X"&amp;calc3!G36&amp;
      " Y"&amp;H36&amp;
      " F"&amp;initialize!$W$2&amp;
       REPT(CHAR(9),4)&amp;
       "; move to spot No."&amp;B36&amp;
      CHAR(10)&amp;
   "G0"&amp;
      " Z"&amp;calc1!$P$6+initialize!$Q$4&amp;
      " F"&amp;initialize!$W$3&amp;
       REPT(CHAR(9),5)&amp;
       "; decrease z-velocity for contact with TLC"&amp;
      CHAR(10)&amp;
   "G0"&amp;
      " Z"&amp;calc1!$P$6&amp;
      " F"&amp;initialize!$W$4,
  "")</f>
        <v/>
      </c>
      <c r="M36" s="20" t="str">
        <f>IF(AND(calc3!J36=TRUE,I37&lt;&gt;"", modify!$K$3&gt;0),
        "; cleaning process"&amp;
         CHAR(10)&amp;
         calc2!$C$8 &amp;
          REPT(
               CHAR(10)&amp;
               calc2!$C$8, modify!$K$3-1),
      "")</f>
        <v/>
      </c>
      <c r="N36" s="71" t="str">
        <f>IF(calc3!I36=TRUE,
      CHAR(10)&amp;
      "; Spot No."&amp;B36&amp;
      CHAR(10)&amp;
             IF(K36="", "", K36)&amp;                        REPLACE(N("rack"),1,1,"")&amp;CHAR(10)&amp;
             IF(calc2!$A$5="","",calc2!$A$5)&amp;        REPLACE(N("retraction"),1,1,"")&amp;CHAR(10)&amp;
             IF(L36="", "", L36)&amp;                           REPLACE(N("TLC"),1,1,"")&amp;CHAR(10)&amp;
             IF(calc2!$B$5="","",calc2!$B$5)&amp;         REPLACE(N("extrusion"),1,1,"")&amp;CHAR(10)&amp;
             IF(calc2!$C$5="","",calc2!$C$5)&amp;         REPLACE(N("waste"),1,1,"")&amp;CHAR(10)&amp;
             IF(M36="", "", M36)&amp;                          REPLACE(N("cleaning process"),1,1,""),
      "")</f>
        <v/>
      </c>
    </row>
    <row r="37" spans="1:14" ht="14.65" customHeight="1">
      <c r="A37" s="19">
        <v>36</v>
      </c>
      <c r="B37" s="69" t="str">
        <f>IF(calc3!I37=TRUE,
      COUNTIF(calc3!$I$2:I37,TRUE),
      "")</f>
        <v/>
      </c>
      <c r="C37" s="44" t="str">
        <f>IF(calc3!I37=TRUE,ROUNDUP(calc3!A37/calc1!$N$3,0),"")</f>
        <v/>
      </c>
      <c r="D37" s="69" t="str">
        <f>IF(calc3!I37=TRUE,MOD((calc3!A37-1),calc1!$N$3),"")</f>
        <v/>
      </c>
      <c r="E37" s="23" t="str">
        <f>IF(AND(calc3!I37=TRUE,
                         C37&lt;=calc1!$O$3),
      INT((calc3!A37-1)/calc1!$N$3)*calc1!$H$5+calc1!$P$3,
      "")</f>
        <v/>
      </c>
      <c r="F37" s="69" t="str">
        <f>IF(AND(calc3!I37=TRUE,
                        C37&lt;=calc1!$O$3),
      IF(
            calc1!$N$3=1,
                  calc1!$Q$3,
            IF(modify!$B$3="s-shape, starting at back left corner",
                  IF(ISODD(C37),
                             calc1!Q$3+D37*calc1!$H$4,
                              calc1!$S$3-D37*calc1!$H$4),
           IF(modify!$B$3="s-shape, starting at front left corner",
                  IF(ISEVEN(C37),
                              calc1!$Q$3+D37*calc1!$H$4,
                              calc1!$S$3-D37*calc1!$H$4),
            IF(modify!$B$3="non alternating, starting at back left corner",
                  calc1!$Q$3+D37*calc1!$H$4,
            IF(modify!$B$3="non alternating, starting at front left corner",
                  calc1!$S$3-D37*calc1!$H$4,
      ""))))),"")</f>
        <v/>
      </c>
      <c r="G37" s="23" t="str">
        <f>IF(calc3!I37=TRUE,
      IF(
            calc3!B37&lt;=calc1!$E$3,
                  calc1!$N$6-initialize!$Q$2/(calc1!$E$3+1)*calc3!B37,
            IF(calc3!B37&lt;=calc1!$E$3+calc1!$E$4,
                  calc1!$N$6-initialize!$Q$2/(calc1!$E$4+1)*(calc3!B37-calc1!$E$3)-calc1!$E$2-initialize!$Q$2,
           IF(calc3!B37&lt;=calc1!$H$3,
                  calc1!$N$6-initialize!$Q$2/(calc1!$E$5+1)*(calc3!B37-calc1!$E$3-calc1!$E$4)-(calc1!$E$2+initialize!$Q$2)*2,""))),"")</f>
        <v/>
      </c>
      <c r="H37" s="69" t="str">
        <f>IF(AND(calc3!I37=TRUE,
                         ROUNDUP(calc3!A37/calc1!$N$3,0)&lt;=calc1!$O$3),
      calc1!$O$6-initialize!$Q$3,
      "")</f>
        <v/>
      </c>
      <c r="I37" s="23" t="str">
        <f>IF(AND(calc3!A37&gt;0,
                         calc3!A37&lt;=calc1!$H$2),
      IF(MOD(calc3!A37-1,modify!$B$6)=0,
            TRUE,
            FALSE),
      "")</f>
        <v/>
      </c>
      <c r="J37" s="69" t="str">
        <f>IF(I37=TRUE,
      IF(MOD(calc3!B37,modify!$K$2)=0,
            TRUE,
            FALSE),
      "")</f>
        <v/>
      </c>
      <c r="K37" s="20" t="str">
        <f>IF(I37=TRUE,
   "G0"&amp;
      " Z"&amp;calc1!$U$3&amp;
      " F"&amp; initialize!$W$3&amp;
      CHAR(10)&amp;
    "G0"&amp;
      " X"&amp;E37&amp;
      " Y"&amp;F37&amp;
      " F"&amp; initialize!$W$2&amp;
       REPT(CHAR(9),4)&amp;
       "; move to sample No. "&amp;A37&amp;
      CHAR(10)&amp;
   "G0"&amp;
      " Z"&amp;calc1!$T$3&amp;
      " F"&amp;initialize!$W$3,
 "")</f>
        <v/>
      </c>
      <c r="L37" s="71" t="str">
        <f>IF(calc3!I37=TRUE,
   "G0 "&amp;
      "Z"&amp;calc1!$U$3 &amp;
      " F"&amp;initialize!$W$3&amp;
      CHAR(10)&amp;
   "G0"&amp;
      " X"&amp;calc3!G37&amp;
      " Y"&amp;H37&amp;
      " F"&amp;initialize!$W$2&amp;
       REPT(CHAR(9),4)&amp;
       "; move to spot No."&amp;B37&amp;
      CHAR(10)&amp;
   "G0"&amp;
      " Z"&amp;calc1!$P$6+initialize!$Q$4&amp;
      " F"&amp;initialize!$W$3&amp;
       REPT(CHAR(9),5)&amp;
       "; decrease z-velocity for contact with TLC"&amp;
      CHAR(10)&amp;
   "G0"&amp;
      " Z"&amp;calc1!$P$6&amp;
      " F"&amp;initialize!$W$4,
  "")</f>
        <v/>
      </c>
      <c r="M37" s="20" t="str">
        <f>IF(AND(calc3!J37=TRUE,I38&lt;&gt;"", modify!$K$3&gt;0),
        "; cleaning process"&amp;
         CHAR(10)&amp;
         calc2!$C$8 &amp;
          REPT(
               CHAR(10)&amp;
               calc2!$C$8, modify!$K$3-1),
      "")</f>
        <v/>
      </c>
      <c r="N37" s="71" t="str">
        <f>IF(calc3!I37=TRUE,
      CHAR(10)&amp;
      "; Spot No."&amp;B37&amp;
      CHAR(10)&amp;
             IF(K37="", "", K37)&amp;                        REPLACE(N("rack"),1,1,"")&amp;CHAR(10)&amp;
             IF(calc2!$A$5="","",calc2!$A$5)&amp;        REPLACE(N("retraction"),1,1,"")&amp;CHAR(10)&amp;
             IF(L37="", "", L37)&amp;                           REPLACE(N("TLC"),1,1,"")&amp;CHAR(10)&amp;
             IF(calc2!$B$5="","",calc2!$B$5)&amp;         REPLACE(N("extrusion"),1,1,"")&amp;CHAR(10)&amp;
             IF(calc2!$C$5="","",calc2!$C$5)&amp;         REPLACE(N("waste"),1,1,"")&amp;CHAR(10)&amp;
             IF(M37="", "", M37)&amp;                          REPLACE(N("cleaning process"),1,1,""),
      "")</f>
        <v/>
      </c>
    </row>
    <row r="38" spans="1:14" ht="14.65" customHeight="1">
      <c r="A38" s="19">
        <v>37</v>
      </c>
      <c r="B38" s="69" t="str">
        <f>IF(calc3!I38=TRUE,
      COUNTIF(calc3!$I$2:I38,TRUE),
      "")</f>
        <v/>
      </c>
      <c r="C38" s="44" t="str">
        <f>IF(calc3!I38=TRUE,ROUNDUP(calc3!A38/calc1!$N$3,0),"")</f>
        <v/>
      </c>
      <c r="D38" s="69" t="str">
        <f>IF(calc3!I38=TRUE,MOD((calc3!A38-1),calc1!$N$3),"")</f>
        <v/>
      </c>
      <c r="E38" s="23" t="str">
        <f>IF(AND(calc3!I38=TRUE,
                         C38&lt;=calc1!$O$3),
      INT((calc3!A38-1)/calc1!$N$3)*calc1!$H$5+calc1!$P$3,
      "")</f>
        <v/>
      </c>
      <c r="F38" s="69" t="str">
        <f>IF(AND(calc3!I38=TRUE,
                        C38&lt;=calc1!$O$3),
      IF(
            calc1!$N$3=1,
                  calc1!$Q$3,
            IF(modify!$B$3="s-shape, starting at back left corner",
                  IF(ISODD(C38),
                             calc1!Q$3+D38*calc1!$H$4,
                              calc1!$S$3-D38*calc1!$H$4),
           IF(modify!$B$3="s-shape, starting at front left corner",
                  IF(ISEVEN(C38),
                              calc1!$Q$3+D38*calc1!$H$4,
                              calc1!$S$3-D38*calc1!$H$4),
            IF(modify!$B$3="non alternating, starting at back left corner",
                  calc1!$Q$3+D38*calc1!$H$4,
            IF(modify!$B$3="non alternating, starting at front left corner",
                  calc1!$S$3-D38*calc1!$H$4,
      ""))))),"")</f>
        <v/>
      </c>
      <c r="G38" s="23" t="str">
        <f>IF(calc3!I38=TRUE,
      IF(
            calc3!B38&lt;=calc1!$E$3,
                  calc1!$N$6-initialize!$Q$2/(calc1!$E$3+1)*calc3!B38,
            IF(calc3!B38&lt;=calc1!$E$3+calc1!$E$4,
                  calc1!$N$6-initialize!$Q$2/(calc1!$E$4+1)*(calc3!B38-calc1!$E$3)-calc1!$E$2-initialize!$Q$2,
           IF(calc3!B38&lt;=calc1!$H$3,
                  calc1!$N$6-initialize!$Q$2/(calc1!$E$5+1)*(calc3!B38-calc1!$E$3-calc1!$E$4)-(calc1!$E$2+initialize!$Q$2)*2,""))),"")</f>
        <v/>
      </c>
      <c r="H38" s="69" t="str">
        <f>IF(AND(calc3!I38=TRUE,
                         ROUNDUP(calc3!A38/calc1!$N$3,0)&lt;=calc1!$O$3),
      calc1!$O$6-initialize!$Q$3,
      "")</f>
        <v/>
      </c>
      <c r="I38" s="23" t="str">
        <f>IF(AND(calc3!A38&gt;0,
                         calc3!A38&lt;=calc1!$H$2),
      IF(MOD(calc3!A38-1,modify!$B$6)=0,
            TRUE,
            FALSE),
      "")</f>
        <v/>
      </c>
      <c r="J38" s="69" t="str">
        <f>IF(I38=TRUE,
      IF(MOD(calc3!B38,modify!$K$2)=0,
            TRUE,
            FALSE),
      "")</f>
        <v/>
      </c>
      <c r="K38" s="20" t="str">
        <f>IF(I38=TRUE,
   "G0"&amp;
      " Z"&amp;calc1!$U$3&amp;
      " F"&amp; initialize!$W$3&amp;
      CHAR(10)&amp;
    "G0"&amp;
      " X"&amp;E38&amp;
      " Y"&amp;F38&amp;
      " F"&amp; initialize!$W$2&amp;
       REPT(CHAR(9),4)&amp;
       "; move to sample No. "&amp;A38&amp;
      CHAR(10)&amp;
   "G0"&amp;
      " Z"&amp;calc1!$T$3&amp;
      " F"&amp;initialize!$W$3,
 "")</f>
        <v/>
      </c>
      <c r="L38" s="71" t="str">
        <f>IF(calc3!I38=TRUE,
   "G0 "&amp;
      "Z"&amp;calc1!$U$3 &amp;
      " F"&amp;initialize!$W$3&amp;
      CHAR(10)&amp;
   "G0"&amp;
      " X"&amp;calc3!G38&amp;
      " Y"&amp;H38&amp;
      " F"&amp;initialize!$W$2&amp;
       REPT(CHAR(9),4)&amp;
       "; move to spot No."&amp;B38&amp;
      CHAR(10)&amp;
   "G0"&amp;
      " Z"&amp;calc1!$P$6+initialize!$Q$4&amp;
      " F"&amp;initialize!$W$3&amp;
       REPT(CHAR(9),5)&amp;
       "; decrease z-velocity for contact with TLC"&amp;
      CHAR(10)&amp;
   "G0"&amp;
      " Z"&amp;calc1!$P$6&amp;
      " F"&amp;initialize!$W$4,
  "")</f>
        <v/>
      </c>
      <c r="M38" s="20" t="str">
        <f>IF(AND(calc3!J38=TRUE,I39&lt;&gt;"", modify!$K$3&gt;0),
        "; cleaning process"&amp;
         CHAR(10)&amp;
         calc2!$C$8 &amp;
          REPT(
               CHAR(10)&amp;
               calc2!$C$8, modify!$K$3-1),
      "")</f>
        <v/>
      </c>
      <c r="N38" s="71" t="str">
        <f>IF(calc3!I38=TRUE,
      CHAR(10)&amp;
      "; Spot No."&amp;B38&amp;
      CHAR(10)&amp;
             IF(K38="", "", K38)&amp;                        REPLACE(N("rack"),1,1,"")&amp;CHAR(10)&amp;
             IF(calc2!$A$5="","",calc2!$A$5)&amp;        REPLACE(N("retraction"),1,1,"")&amp;CHAR(10)&amp;
             IF(L38="", "", L38)&amp;                           REPLACE(N("TLC"),1,1,"")&amp;CHAR(10)&amp;
             IF(calc2!$B$5="","",calc2!$B$5)&amp;         REPLACE(N("extrusion"),1,1,"")&amp;CHAR(10)&amp;
             IF(calc2!$C$5="","",calc2!$C$5)&amp;         REPLACE(N("waste"),1,1,"")&amp;CHAR(10)&amp;
             IF(M38="", "", M38)&amp;                          REPLACE(N("cleaning process"),1,1,""),
      "")</f>
        <v/>
      </c>
    </row>
    <row r="39" spans="1:14" ht="14.65" customHeight="1">
      <c r="A39" s="19">
        <v>38</v>
      </c>
      <c r="B39" s="69" t="str">
        <f>IF(calc3!I39=TRUE,
      COUNTIF(calc3!$I$2:I39,TRUE),
      "")</f>
        <v/>
      </c>
      <c r="C39" s="44" t="str">
        <f>IF(calc3!I39=TRUE,ROUNDUP(calc3!A39/calc1!$N$3,0),"")</f>
        <v/>
      </c>
      <c r="D39" s="69" t="str">
        <f>IF(calc3!I39=TRUE,MOD((calc3!A39-1),calc1!$N$3),"")</f>
        <v/>
      </c>
      <c r="E39" s="23" t="str">
        <f>IF(AND(calc3!I39=TRUE,
                         C39&lt;=calc1!$O$3),
      INT((calc3!A39-1)/calc1!$N$3)*calc1!$H$5+calc1!$P$3,
      "")</f>
        <v/>
      </c>
      <c r="F39" s="69" t="str">
        <f>IF(AND(calc3!I39=TRUE,
                        C39&lt;=calc1!$O$3),
      IF(
            calc1!$N$3=1,
                  calc1!$Q$3,
            IF(modify!$B$3="s-shape, starting at back left corner",
                  IF(ISODD(C39),
                             calc1!Q$3+D39*calc1!$H$4,
                              calc1!$S$3-D39*calc1!$H$4),
           IF(modify!$B$3="s-shape, starting at front left corner",
                  IF(ISEVEN(C39),
                              calc1!$Q$3+D39*calc1!$H$4,
                              calc1!$S$3-D39*calc1!$H$4),
            IF(modify!$B$3="non alternating, starting at back left corner",
                  calc1!$Q$3+D39*calc1!$H$4,
            IF(modify!$B$3="non alternating, starting at front left corner",
                  calc1!$S$3-D39*calc1!$H$4,
      ""))))),"")</f>
        <v/>
      </c>
      <c r="G39" s="23" t="str">
        <f>IF(calc3!I39=TRUE,
      IF(
            calc3!B39&lt;=calc1!$E$3,
                  calc1!$N$6-initialize!$Q$2/(calc1!$E$3+1)*calc3!B39,
            IF(calc3!B39&lt;=calc1!$E$3+calc1!$E$4,
                  calc1!$N$6-initialize!$Q$2/(calc1!$E$4+1)*(calc3!B39-calc1!$E$3)-calc1!$E$2-initialize!$Q$2,
           IF(calc3!B39&lt;=calc1!$H$3,
                  calc1!$N$6-initialize!$Q$2/(calc1!$E$5+1)*(calc3!B39-calc1!$E$3-calc1!$E$4)-(calc1!$E$2+initialize!$Q$2)*2,""))),"")</f>
        <v/>
      </c>
      <c r="H39" s="69" t="str">
        <f>IF(AND(calc3!I39=TRUE,
                         ROUNDUP(calc3!A39/calc1!$N$3,0)&lt;=calc1!$O$3),
      calc1!$O$6-initialize!$Q$3,
      "")</f>
        <v/>
      </c>
      <c r="I39" s="23" t="str">
        <f>IF(AND(calc3!A39&gt;0,
                         calc3!A39&lt;=calc1!$H$2),
      IF(MOD(calc3!A39-1,modify!$B$6)=0,
            TRUE,
            FALSE),
      "")</f>
        <v/>
      </c>
      <c r="J39" s="69" t="str">
        <f>IF(I39=TRUE,
      IF(MOD(calc3!B39,modify!$K$2)=0,
            TRUE,
            FALSE),
      "")</f>
        <v/>
      </c>
      <c r="K39" s="20" t="str">
        <f>IF(I39=TRUE,
   "G0"&amp;
      " Z"&amp;calc1!$U$3&amp;
      " F"&amp; initialize!$W$3&amp;
      CHAR(10)&amp;
    "G0"&amp;
      " X"&amp;E39&amp;
      " Y"&amp;F39&amp;
      " F"&amp; initialize!$W$2&amp;
       REPT(CHAR(9),4)&amp;
       "; move to sample No. "&amp;A39&amp;
      CHAR(10)&amp;
   "G0"&amp;
      " Z"&amp;calc1!$T$3&amp;
      " F"&amp;initialize!$W$3,
 "")</f>
        <v/>
      </c>
      <c r="L39" s="71" t="str">
        <f>IF(calc3!I39=TRUE,
   "G0 "&amp;
      "Z"&amp;calc1!$U$3 &amp;
      " F"&amp;initialize!$W$3&amp;
      CHAR(10)&amp;
   "G0"&amp;
      " X"&amp;calc3!G39&amp;
      " Y"&amp;H39&amp;
      " F"&amp;initialize!$W$2&amp;
       REPT(CHAR(9),4)&amp;
       "; move to spot No."&amp;B39&amp;
      CHAR(10)&amp;
   "G0"&amp;
      " Z"&amp;calc1!$P$6+initialize!$Q$4&amp;
      " F"&amp;initialize!$W$3&amp;
       REPT(CHAR(9),5)&amp;
       "; decrease z-velocity for contact with TLC"&amp;
      CHAR(10)&amp;
   "G0"&amp;
      " Z"&amp;calc1!$P$6&amp;
      " F"&amp;initialize!$W$4,
  "")</f>
        <v/>
      </c>
      <c r="M39" s="20" t="str">
        <f>IF(AND(calc3!J39=TRUE,I40&lt;&gt;"", modify!$K$3&gt;0),
        "; cleaning process"&amp;
         CHAR(10)&amp;
         calc2!$C$8 &amp;
          REPT(
               CHAR(10)&amp;
               calc2!$C$8, modify!$K$3-1),
      "")</f>
        <v/>
      </c>
      <c r="N39" s="71" t="str">
        <f>IF(calc3!I39=TRUE,
      CHAR(10)&amp;
      "; Spot No."&amp;B39&amp;
      CHAR(10)&amp;
             IF(K39="", "", K39)&amp;                        REPLACE(N("rack"),1,1,"")&amp;CHAR(10)&amp;
             IF(calc2!$A$5="","",calc2!$A$5)&amp;        REPLACE(N("retraction"),1,1,"")&amp;CHAR(10)&amp;
             IF(L39="", "", L39)&amp;                           REPLACE(N("TLC"),1,1,"")&amp;CHAR(10)&amp;
             IF(calc2!$B$5="","",calc2!$B$5)&amp;         REPLACE(N("extrusion"),1,1,"")&amp;CHAR(10)&amp;
             IF(calc2!$C$5="","",calc2!$C$5)&amp;         REPLACE(N("waste"),1,1,"")&amp;CHAR(10)&amp;
             IF(M39="", "", M39)&amp;                          REPLACE(N("cleaning process"),1,1,""),
      "")</f>
        <v/>
      </c>
    </row>
    <row r="40" spans="1:14" ht="14.65" customHeight="1">
      <c r="A40" s="19">
        <v>39</v>
      </c>
      <c r="B40" s="69" t="str">
        <f>IF(calc3!I40=TRUE,
      COUNTIF(calc3!$I$2:I40,TRUE),
      "")</f>
        <v/>
      </c>
      <c r="C40" s="44" t="str">
        <f>IF(calc3!I40=TRUE,ROUNDUP(calc3!A40/calc1!$N$3,0),"")</f>
        <v/>
      </c>
      <c r="D40" s="69" t="str">
        <f>IF(calc3!I40=TRUE,MOD((calc3!A40-1),calc1!$N$3),"")</f>
        <v/>
      </c>
      <c r="E40" s="23" t="str">
        <f>IF(AND(calc3!I40=TRUE,
                         C40&lt;=calc1!$O$3),
      INT((calc3!A40-1)/calc1!$N$3)*calc1!$H$5+calc1!$P$3,
      "")</f>
        <v/>
      </c>
      <c r="F40" s="69" t="str">
        <f>IF(AND(calc3!I40=TRUE,
                        C40&lt;=calc1!$O$3),
      IF(
            calc1!$N$3=1,
                  calc1!$Q$3,
            IF(modify!$B$3="s-shape, starting at back left corner",
                  IF(ISODD(C40),
                             calc1!Q$3+D40*calc1!$H$4,
                              calc1!$S$3-D40*calc1!$H$4),
           IF(modify!$B$3="s-shape, starting at front left corner",
                  IF(ISEVEN(C40),
                              calc1!$Q$3+D40*calc1!$H$4,
                              calc1!$S$3-D40*calc1!$H$4),
            IF(modify!$B$3="non alternating, starting at back left corner",
                  calc1!$Q$3+D40*calc1!$H$4,
            IF(modify!$B$3="non alternating, starting at front left corner",
                  calc1!$S$3-D40*calc1!$H$4,
      ""))))),"")</f>
        <v/>
      </c>
      <c r="G40" s="23" t="str">
        <f>IF(calc3!I40=TRUE,
      IF(
            calc3!B40&lt;=calc1!$E$3,
                  calc1!$N$6-initialize!$Q$2/(calc1!$E$3+1)*calc3!B40,
            IF(calc3!B40&lt;=calc1!$E$3+calc1!$E$4,
                  calc1!$N$6-initialize!$Q$2/(calc1!$E$4+1)*(calc3!B40-calc1!$E$3)-calc1!$E$2-initialize!$Q$2,
           IF(calc3!B40&lt;=calc1!$H$3,
                  calc1!$N$6-initialize!$Q$2/(calc1!$E$5+1)*(calc3!B40-calc1!$E$3-calc1!$E$4)-(calc1!$E$2+initialize!$Q$2)*2,""))),"")</f>
        <v/>
      </c>
      <c r="H40" s="69" t="str">
        <f>IF(AND(calc3!I40=TRUE,
                         ROUNDUP(calc3!A40/calc1!$N$3,0)&lt;=calc1!$O$3),
      calc1!$O$6-initialize!$Q$3,
      "")</f>
        <v/>
      </c>
      <c r="I40" s="23" t="str">
        <f>IF(AND(calc3!A40&gt;0,
                         calc3!A40&lt;=calc1!$H$2),
      IF(MOD(calc3!A40-1,modify!$B$6)=0,
            TRUE,
            FALSE),
      "")</f>
        <v/>
      </c>
      <c r="J40" s="69" t="str">
        <f>IF(I40=TRUE,
      IF(MOD(calc3!B40,modify!$K$2)=0,
            TRUE,
            FALSE),
      "")</f>
        <v/>
      </c>
      <c r="K40" s="20" t="str">
        <f>IF(I40=TRUE,
   "G0"&amp;
      " Z"&amp;calc1!$U$3&amp;
      " F"&amp; initialize!$W$3&amp;
      CHAR(10)&amp;
    "G0"&amp;
      " X"&amp;E40&amp;
      " Y"&amp;F40&amp;
      " F"&amp; initialize!$W$2&amp;
       REPT(CHAR(9),4)&amp;
       "; move to sample No. "&amp;A40&amp;
      CHAR(10)&amp;
   "G0"&amp;
      " Z"&amp;calc1!$T$3&amp;
      " F"&amp;initialize!$W$3,
 "")</f>
        <v/>
      </c>
      <c r="L40" s="71" t="str">
        <f>IF(calc3!I40=TRUE,
   "G0 "&amp;
      "Z"&amp;calc1!$U$3 &amp;
      " F"&amp;initialize!$W$3&amp;
      CHAR(10)&amp;
   "G0"&amp;
      " X"&amp;calc3!G40&amp;
      " Y"&amp;H40&amp;
      " F"&amp;initialize!$W$2&amp;
       REPT(CHAR(9),4)&amp;
       "; move to spot No."&amp;B40&amp;
      CHAR(10)&amp;
   "G0"&amp;
      " Z"&amp;calc1!$P$6+initialize!$Q$4&amp;
      " F"&amp;initialize!$W$3&amp;
       REPT(CHAR(9),5)&amp;
       "; decrease z-velocity for contact with TLC"&amp;
      CHAR(10)&amp;
   "G0"&amp;
      " Z"&amp;calc1!$P$6&amp;
      " F"&amp;initialize!$W$4,
  "")</f>
        <v/>
      </c>
      <c r="M40" s="20" t="str">
        <f>IF(AND(calc3!J40=TRUE,I41&lt;&gt;"", modify!$K$3&gt;0),
        "; cleaning process"&amp;
         CHAR(10)&amp;
         calc2!$C$8 &amp;
          REPT(
               CHAR(10)&amp;
               calc2!$C$8, modify!$K$3-1),
      "")</f>
        <v/>
      </c>
      <c r="N40" s="71" t="str">
        <f>IF(calc3!I40=TRUE,
      CHAR(10)&amp;
      "; Spot No."&amp;B40&amp;
      CHAR(10)&amp;
             IF(K40="", "", K40)&amp;                        REPLACE(N("rack"),1,1,"")&amp;CHAR(10)&amp;
             IF(calc2!$A$5="","",calc2!$A$5)&amp;        REPLACE(N("retraction"),1,1,"")&amp;CHAR(10)&amp;
             IF(L40="", "", L40)&amp;                           REPLACE(N("TLC"),1,1,"")&amp;CHAR(10)&amp;
             IF(calc2!$B$5="","",calc2!$B$5)&amp;         REPLACE(N("extrusion"),1,1,"")&amp;CHAR(10)&amp;
             IF(calc2!$C$5="","",calc2!$C$5)&amp;         REPLACE(N("waste"),1,1,"")&amp;CHAR(10)&amp;
             IF(M40="", "", M40)&amp;                          REPLACE(N("cleaning process"),1,1,""),
      "")</f>
        <v/>
      </c>
    </row>
    <row r="41" spans="1:14" ht="14.65" customHeight="1">
      <c r="A41" s="19">
        <v>40</v>
      </c>
      <c r="B41" s="69" t="str">
        <f>IF(calc3!I41=TRUE,
      COUNTIF(calc3!$I$2:I41,TRUE),
      "")</f>
        <v/>
      </c>
      <c r="C41" s="44" t="str">
        <f>IF(calc3!I41=TRUE,ROUNDUP(calc3!A41/calc1!$N$3,0),"")</f>
        <v/>
      </c>
      <c r="D41" s="69" t="str">
        <f>IF(calc3!I41=TRUE,MOD((calc3!A41-1),calc1!$N$3),"")</f>
        <v/>
      </c>
      <c r="E41" s="23" t="str">
        <f>IF(AND(calc3!I41=TRUE,
                         C41&lt;=calc1!$O$3),
      INT((calc3!A41-1)/calc1!$N$3)*calc1!$H$5+calc1!$P$3,
      "")</f>
        <v/>
      </c>
      <c r="F41" s="69" t="str">
        <f>IF(AND(calc3!I41=TRUE,
                        C41&lt;=calc1!$O$3),
      IF(
            calc1!$N$3=1,
                  calc1!$Q$3,
            IF(modify!$B$3="s-shape, starting at back left corner",
                  IF(ISODD(C41),
                             calc1!Q$3+D41*calc1!$H$4,
                              calc1!$S$3-D41*calc1!$H$4),
           IF(modify!$B$3="s-shape, starting at front left corner",
                  IF(ISEVEN(C41),
                              calc1!$Q$3+D41*calc1!$H$4,
                              calc1!$S$3-D41*calc1!$H$4),
            IF(modify!$B$3="non alternating, starting at back left corner",
                  calc1!$Q$3+D41*calc1!$H$4,
            IF(modify!$B$3="non alternating, starting at front left corner",
                  calc1!$S$3-D41*calc1!$H$4,
      ""))))),"")</f>
        <v/>
      </c>
      <c r="G41" s="23" t="str">
        <f>IF(calc3!I41=TRUE,
      IF(
            calc3!B41&lt;=calc1!$E$3,
                  calc1!$N$6-initialize!$Q$2/(calc1!$E$3+1)*calc3!B41,
            IF(calc3!B41&lt;=calc1!$E$3+calc1!$E$4,
                  calc1!$N$6-initialize!$Q$2/(calc1!$E$4+1)*(calc3!B41-calc1!$E$3)-calc1!$E$2-initialize!$Q$2,
           IF(calc3!B41&lt;=calc1!$H$3,
                  calc1!$N$6-initialize!$Q$2/(calc1!$E$5+1)*(calc3!B41-calc1!$E$3-calc1!$E$4)-(calc1!$E$2+initialize!$Q$2)*2,""))),"")</f>
        <v/>
      </c>
      <c r="H41" s="69" t="str">
        <f>IF(AND(calc3!I41=TRUE,
                         ROUNDUP(calc3!A41/calc1!$N$3,0)&lt;=calc1!$O$3),
      calc1!$O$6-initialize!$Q$3,
      "")</f>
        <v/>
      </c>
      <c r="I41" s="23" t="str">
        <f>IF(AND(calc3!A41&gt;0,
                         calc3!A41&lt;=calc1!$H$2),
      IF(MOD(calc3!A41-1,modify!$B$6)=0,
            TRUE,
            FALSE),
      "")</f>
        <v/>
      </c>
      <c r="J41" s="69" t="str">
        <f>IF(I41=TRUE,
      IF(MOD(calc3!B41,modify!$K$2)=0,
            TRUE,
            FALSE),
      "")</f>
        <v/>
      </c>
      <c r="K41" s="20" t="str">
        <f>IF(I41=TRUE,
   "G0"&amp;
      " Z"&amp;calc1!$U$3&amp;
      " F"&amp; initialize!$W$3&amp;
      CHAR(10)&amp;
    "G0"&amp;
      " X"&amp;E41&amp;
      " Y"&amp;F41&amp;
      " F"&amp; initialize!$W$2&amp;
       REPT(CHAR(9),4)&amp;
       "; move to sample No. "&amp;A41&amp;
      CHAR(10)&amp;
   "G0"&amp;
      " Z"&amp;calc1!$T$3&amp;
      " F"&amp;initialize!$W$3,
 "")</f>
        <v/>
      </c>
      <c r="L41" s="71" t="str">
        <f>IF(calc3!I41=TRUE,
   "G0 "&amp;
      "Z"&amp;calc1!$U$3 &amp;
      " F"&amp;initialize!$W$3&amp;
      CHAR(10)&amp;
   "G0"&amp;
      " X"&amp;calc3!G41&amp;
      " Y"&amp;H41&amp;
      " F"&amp;initialize!$W$2&amp;
       REPT(CHAR(9),4)&amp;
       "; move to spot No."&amp;B41&amp;
      CHAR(10)&amp;
   "G0"&amp;
      " Z"&amp;calc1!$P$6+initialize!$Q$4&amp;
      " F"&amp;initialize!$W$3&amp;
       REPT(CHAR(9),5)&amp;
       "; decrease z-velocity for contact with TLC"&amp;
      CHAR(10)&amp;
   "G0"&amp;
      " Z"&amp;calc1!$P$6&amp;
      " F"&amp;initialize!$W$4,
  "")</f>
        <v/>
      </c>
      <c r="M41" s="20" t="str">
        <f>IF(AND(calc3!J41=TRUE,I42&lt;&gt;"", modify!$K$3&gt;0),
        "; cleaning process"&amp;
         CHAR(10)&amp;
         calc2!$C$8 &amp;
          REPT(
               CHAR(10)&amp;
               calc2!$C$8, modify!$K$3-1),
      "")</f>
        <v/>
      </c>
      <c r="N41" s="71" t="str">
        <f>IF(calc3!I41=TRUE,
      CHAR(10)&amp;
      "; Spot No."&amp;B41&amp;
      CHAR(10)&amp;
             IF(K41="", "", K41)&amp;                        REPLACE(N("rack"),1,1,"")&amp;CHAR(10)&amp;
             IF(calc2!$A$5="","",calc2!$A$5)&amp;        REPLACE(N("retraction"),1,1,"")&amp;CHAR(10)&amp;
             IF(L41="", "", L41)&amp;                           REPLACE(N("TLC"),1,1,"")&amp;CHAR(10)&amp;
             IF(calc2!$B$5="","",calc2!$B$5)&amp;         REPLACE(N("extrusion"),1,1,"")&amp;CHAR(10)&amp;
             IF(calc2!$C$5="","",calc2!$C$5)&amp;         REPLACE(N("waste"),1,1,"")&amp;CHAR(10)&amp;
             IF(M41="", "", M41)&amp;                          REPLACE(N("cleaning process"),1,1,""),
      "")</f>
        <v/>
      </c>
    </row>
    <row r="42" spans="1:14" ht="14.65" customHeight="1">
      <c r="A42" s="19">
        <v>41</v>
      </c>
      <c r="B42" s="69" t="str">
        <f>IF(calc3!I42=TRUE,
      COUNTIF(calc3!$I$2:I42,TRUE),
      "")</f>
        <v/>
      </c>
      <c r="C42" s="44" t="str">
        <f>IF(calc3!I42=TRUE,ROUNDUP(calc3!A42/calc1!$N$3,0),"")</f>
        <v/>
      </c>
      <c r="D42" s="69" t="str">
        <f>IF(calc3!I42=TRUE,MOD((calc3!A42-1),calc1!$N$3),"")</f>
        <v/>
      </c>
      <c r="E42" s="23" t="str">
        <f>IF(AND(calc3!I42=TRUE,
                         C42&lt;=calc1!$O$3),
      INT((calc3!A42-1)/calc1!$N$3)*calc1!$H$5+calc1!$P$3,
      "")</f>
        <v/>
      </c>
      <c r="F42" s="69" t="str">
        <f>IF(AND(calc3!I42=TRUE,
                        C42&lt;=calc1!$O$3),
      IF(
            calc1!$N$3=1,
                  calc1!$Q$3,
            IF(modify!$B$3="s-shape, starting at back left corner",
                  IF(ISODD(C42),
                             calc1!Q$3+D42*calc1!$H$4,
                              calc1!$S$3-D42*calc1!$H$4),
           IF(modify!$B$3="s-shape, starting at front left corner",
                  IF(ISEVEN(C42),
                              calc1!$Q$3+D42*calc1!$H$4,
                              calc1!$S$3-D42*calc1!$H$4),
            IF(modify!$B$3="non alternating, starting at back left corner",
                  calc1!$Q$3+D42*calc1!$H$4,
            IF(modify!$B$3="non alternating, starting at front left corner",
                  calc1!$S$3-D42*calc1!$H$4,
      ""))))),"")</f>
        <v/>
      </c>
      <c r="G42" s="23" t="str">
        <f>IF(calc3!I42=TRUE,
      IF(
            calc3!B42&lt;=calc1!$E$3,
                  calc1!$N$6-initialize!$Q$2/(calc1!$E$3+1)*calc3!B42,
            IF(calc3!B42&lt;=calc1!$E$3+calc1!$E$4,
                  calc1!$N$6-initialize!$Q$2/(calc1!$E$4+1)*(calc3!B42-calc1!$E$3)-calc1!$E$2-initialize!$Q$2,
           IF(calc3!B42&lt;=calc1!$H$3,
                  calc1!$N$6-initialize!$Q$2/(calc1!$E$5+1)*(calc3!B42-calc1!$E$3-calc1!$E$4)-(calc1!$E$2+initialize!$Q$2)*2,""))),"")</f>
        <v/>
      </c>
      <c r="H42" s="69" t="str">
        <f>IF(AND(calc3!I42=TRUE,
                         ROUNDUP(calc3!A42/calc1!$N$3,0)&lt;=calc1!$O$3),
      calc1!$O$6-initialize!$Q$3,
      "")</f>
        <v/>
      </c>
      <c r="I42" s="23" t="str">
        <f>IF(AND(calc3!A42&gt;0,
                         calc3!A42&lt;=calc1!$H$2),
      IF(MOD(calc3!A42-1,modify!$B$6)=0,
            TRUE,
            FALSE),
      "")</f>
        <v/>
      </c>
      <c r="J42" s="69" t="str">
        <f>IF(I42=TRUE,
      IF(MOD(calc3!B42,modify!$K$2)=0,
            TRUE,
            FALSE),
      "")</f>
        <v/>
      </c>
      <c r="K42" s="20" t="str">
        <f>IF(I42=TRUE,
   "G0"&amp;
      " Z"&amp;calc1!$U$3&amp;
      " F"&amp; initialize!$W$3&amp;
      CHAR(10)&amp;
    "G0"&amp;
      " X"&amp;E42&amp;
      " Y"&amp;F42&amp;
      " F"&amp; initialize!$W$2&amp;
       REPT(CHAR(9),4)&amp;
       "; move to sample No. "&amp;A42&amp;
      CHAR(10)&amp;
   "G0"&amp;
      " Z"&amp;calc1!$T$3&amp;
      " F"&amp;initialize!$W$3,
 "")</f>
        <v/>
      </c>
      <c r="L42" s="71" t="str">
        <f>IF(calc3!I42=TRUE,
   "G0 "&amp;
      "Z"&amp;calc1!$U$3 &amp;
      " F"&amp;initialize!$W$3&amp;
      CHAR(10)&amp;
   "G0"&amp;
      " X"&amp;calc3!G42&amp;
      " Y"&amp;H42&amp;
      " F"&amp;initialize!$W$2&amp;
       REPT(CHAR(9),4)&amp;
       "; move to spot No."&amp;B42&amp;
      CHAR(10)&amp;
   "G0"&amp;
      " Z"&amp;calc1!$P$6+initialize!$Q$4&amp;
      " F"&amp;initialize!$W$3&amp;
       REPT(CHAR(9),5)&amp;
       "; decrease z-velocity for contact with TLC"&amp;
      CHAR(10)&amp;
   "G0"&amp;
      " Z"&amp;calc1!$P$6&amp;
      " F"&amp;initialize!$W$4,
  "")</f>
        <v/>
      </c>
      <c r="M42" s="20" t="str">
        <f>IF(AND(calc3!J42=TRUE,I43&lt;&gt;"", modify!$K$3&gt;0),
        "; cleaning process"&amp;
         CHAR(10)&amp;
         calc2!$C$8 &amp;
          REPT(
               CHAR(10)&amp;
               calc2!$C$8, modify!$K$3-1),
      "")</f>
        <v/>
      </c>
      <c r="N42" s="71" t="str">
        <f>IF(calc3!I42=TRUE,
      CHAR(10)&amp;
      "; Spot No."&amp;B42&amp;
      CHAR(10)&amp;
             IF(K42="", "", K42)&amp;                        REPLACE(N("rack"),1,1,"")&amp;CHAR(10)&amp;
             IF(calc2!$A$5="","",calc2!$A$5)&amp;        REPLACE(N("retraction"),1,1,"")&amp;CHAR(10)&amp;
             IF(L42="", "", L42)&amp;                           REPLACE(N("TLC"),1,1,"")&amp;CHAR(10)&amp;
             IF(calc2!$B$5="","",calc2!$B$5)&amp;         REPLACE(N("extrusion"),1,1,"")&amp;CHAR(10)&amp;
             IF(calc2!$C$5="","",calc2!$C$5)&amp;         REPLACE(N("waste"),1,1,"")&amp;CHAR(10)&amp;
             IF(M42="", "", M42)&amp;                          REPLACE(N("cleaning process"),1,1,""),
      "")</f>
        <v/>
      </c>
    </row>
    <row r="43" spans="1:14" ht="14.65" customHeight="1">
      <c r="A43" s="19">
        <v>42</v>
      </c>
      <c r="B43" s="69" t="str">
        <f>IF(calc3!I43=TRUE,
      COUNTIF(calc3!$I$2:I43,TRUE),
      "")</f>
        <v/>
      </c>
      <c r="C43" s="44" t="str">
        <f>IF(calc3!I43=TRUE,ROUNDUP(calc3!A43/calc1!$N$3,0),"")</f>
        <v/>
      </c>
      <c r="D43" s="69" t="str">
        <f>IF(calc3!I43=TRUE,MOD((calc3!A43-1),calc1!$N$3),"")</f>
        <v/>
      </c>
      <c r="E43" s="23" t="str">
        <f>IF(AND(calc3!I43=TRUE,
                         C43&lt;=calc1!$O$3),
      INT((calc3!A43-1)/calc1!$N$3)*calc1!$H$5+calc1!$P$3,
      "")</f>
        <v/>
      </c>
      <c r="F43" s="69" t="str">
        <f>IF(AND(calc3!I43=TRUE,
                        C43&lt;=calc1!$O$3),
      IF(
            calc1!$N$3=1,
                  calc1!$Q$3,
            IF(modify!$B$3="s-shape, starting at back left corner",
                  IF(ISODD(C43),
                             calc1!Q$3+D43*calc1!$H$4,
                              calc1!$S$3-D43*calc1!$H$4),
           IF(modify!$B$3="s-shape, starting at front left corner",
                  IF(ISEVEN(C43),
                              calc1!$Q$3+D43*calc1!$H$4,
                              calc1!$S$3-D43*calc1!$H$4),
            IF(modify!$B$3="non alternating, starting at back left corner",
                  calc1!$Q$3+D43*calc1!$H$4,
            IF(modify!$B$3="non alternating, starting at front left corner",
                  calc1!$S$3-D43*calc1!$H$4,
      ""))))),"")</f>
        <v/>
      </c>
      <c r="G43" s="23" t="str">
        <f>IF(calc3!I43=TRUE,
      IF(
            calc3!B43&lt;=calc1!$E$3,
                  calc1!$N$6-initialize!$Q$2/(calc1!$E$3+1)*calc3!B43,
            IF(calc3!B43&lt;=calc1!$E$3+calc1!$E$4,
                  calc1!$N$6-initialize!$Q$2/(calc1!$E$4+1)*(calc3!B43-calc1!$E$3)-calc1!$E$2-initialize!$Q$2,
           IF(calc3!B43&lt;=calc1!$H$3,
                  calc1!$N$6-initialize!$Q$2/(calc1!$E$5+1)*(calc3!B43-calc1!$E$3-calc1!$E$4)-(calc1!$E$2+initialize!$Q$2)*2,""))),"")</f>
        <v/>
      </c>
      <c r="H43" s="69" t="str">
        <f>IF(AND(calc3!I43=TRUE,
                         ROUNDUP(calc3!A43/calc1!$N$3,0)&lt;=calc1!$O$3),
      calc1!$O$6-initialize!$Q$3,
      "")</f>
        <v/>
      </c>
      <c r="I43" s="23" t="str">
        <f>IF(AND(calc3!A43&gt;0,
                         calc3!A43&lt;=calc1!$H$2),
      IF(MOD(calc3!A43-1,modify!$B$6)=0,
            TRUE,
            FALSE),
      "")</f>
        <v/>
      </c>
      <c r="J43" s="69" t="str">
        <f>IF(I43=TRUE,
      IF(MOD(calc3!B43,modify!$K$2)=0,
            TRUE,
            FALSE),
      "")</f>
        <v/>
      </c>
      <c r="K43" s="20" t="str">
        <f>IF(I43=TRUE,
   "G0"&amp;
      " Z"&amp;calc1!$U$3&amp;
      " F"&amp; initialize!$W$3&amp;
      CHAR(10)&amp;
    "G0"&amp;
      " X"&amp;E43&amp;
      " Y"&amp;F43&amp;
      " F"&amp; initialize!$W$2&amp;
       REPT(CHAR(9),4)&amp;
       "; move to sample No. "&amp;A43&amp;
      CHAR(10)&amp;
   "G0"&amp;
      " Z"&amp;calc1!$T$3&amp;
      " F"&amp;initialize!$W$3,
 "")</f>
        <v/>
      </c>
      <c r="L43" s="71" t="str">
        <f>IF(calc3!I43=TRUE,
   "G0 "&amp;
      "Z"&amp;calc1!$U$3 &amp;
      " F"&amp;initialize!$W$3&amp;
      CHAR(10)&amp;
   "G0"&amp;
      " X"&amp;calc3!G43&amp;
      " Y"&amp;H43&amp;
      " F"&amp;initialize!$W$2&amp;
       REPT(CHAR(9),4)&amp;
       "; move to spot No."&amp;B43&amp;
      CHAR(10)&amp;
   "G0"&amp;
      " Z"&amp;calc1!$P$6+initialize!$Q$4&amp;
      " F"&amp;initialize!$W$3&amp;
       REPT(CHAR(9),5)&amp;
       "; decrease z-velocity for contact with TLC"&amp;
      CHAR(10)&amp;
   "G0"&amp;
      " Z"&amp;calc1!$P$6&amp;
      " F"&amp;initialize!$W$4,
  "")</f>
        <v/>
      </c>
      <c r="M43" s="20" t="str">
        <f>IF(AND(calc3!J43=TRUE,I44&lt;&gt;"", modify!$K$3&gt;0),
        "; cleaning process"&amp;
         CHAR(10)&amp;
         calc2!$C$8 &amp;
          REPT(
               CHAR(10)&amp;
               calc2!$C$8, modify!$K$3-1),
      "")</f>
        <v/>
      </c>
      <c r="N43" s="71" t="str">
        <f>IF(calc3!I43=TRUE,
      CHAR(10)&amp;
      "; Spot No."&amp;B43&amp;
      CHAR(10)&amp;
             IF(K43="", "", K43)&amp;                        REPLACE(N("rack"),1,1,"")&amp;CHAR(10)&amp;
             IF(calc2!$A$5="","",calc2!$A$5)&amp;        REPLACE(N("retraction"),1,1,"")&amp;CHAR(10)&amp;
             IF(L43="", "", L43)&amp;                           REPLACE(N("TLC"),1,1,"")&amp;CHAR(10)&amp;
             IF(calc2!$B$5="","",calc2!$B$5)&amp;         REPLACE(N("extrusion"),1,1,"")&amp;CHAR(10)&amp;
             IF(calc2!$C$5="","",calc2!$C$5)&amp;         REPLACE(N("waste"),1,1,"")&amp;CHAR(10)&amp;
             IF(M43="", "", M43)&amp;                          REPLACE(N("cleaning process"),1,1,""),
      "")</f>
        <v/>
      </c>
    </row>
    <row r="44" spans="1:14" ht="14.65" customHeight="1">
      <c r="A44" s="19">
        <v>43</v>
      </c>
      <c r="B44" s="69" t="str">
        <f>IF(calc3!I44=TRUE,
      COUNTIF(calc3!$I$2:I44,TRUE),
      "")</f>
        <v/>
      </c>
      <c r="C44" s="44" t="str">
        <f>IF(calc3!I44=TRUE,ROUNDUP(calc3!A44/calc1!$N$3,0),"")</f>
        <v/>
      </c>
      <c r="D44" s="69" t="str">
        <f>IF(calc3!I44=TRUE,MOD((calc3!A44-1),calc1!$N$3),"")</f>
        <v/>
      </c>
      <c r="E44" s="23" t="str">
        <f>IF(AND(calc3!I44=TRUE,
                         C44&lt;=calc1!$O$3),
      INT((calc3!A44-1)/calc1!$N$3)*calc1!$H$5+calc1!$P$3,
      "")</f>
        <v/>
      </c>
      <c r="F44" s="69" t="str">
        <f>IF(AND(calc3!I44=TRUE,
                        C44&lt;=calc1!$O$3),
      IF(
            calc1!$N$3=1,
                  calc1!$Q$3,
            IF(modify!$B$3="s-shape, starting at back left corner",
                  IF(ISODD(C44),
                             calc1!Q$3+D44*calc1!$H$4,
                              calc1!$S$3-D44*calc1!$H$4),
           IF(modify!$B$3="s-shape, starting at front left corner",
                  IF(ISEVEN(C44),
                              calc1!$Q$3+D44*calc1!$H$4,
                              calc1!$S$3-D44*calc1!$H$4),
            IF(modify!$B$3="non alternating, starting at back left corner",
                  calc1!$Q$3+D44*calc1!$H$4,
            IF(modify!$B$3="non alternating, starting at front left corner",
                  calc1!$S$3-D44*calc1!$H$4,
      ""))))),"")</f>
        <v/>
      </c>
      <c r="G44" s="23" t="str">
        <f>IF(calc3!I44=TRUE,
      IF(
            calc3!B44&lt;=calc1!$E$3,
                  calc1!$N$6-initialize!$Q$2/(calc1!$E$3+1)*calc3!B44,
            IF(calc3!B44&lt;=calc1!$E$3+calc1!$E$4,
                  calc1!$N$6-initialize!$Q$2/(calc1!$E$4+1)*(calc3!B44-calc1!$E$3)-calc1!$E$2-initialize!$Q$2,
           IF(calc3!B44&lt;=calc1!$H$3,
                  calc1!$N$6-initialize!$Q$2/(calc1!$E$5+1)*(calc3!B44-calc1!$E$3-calc1!$E$4)-(calc1!$E$2+initialize!$Q$2)*2,""))),"")</f>
        <v/>
      </c>
      <c r="H44" s="69" t="str">
        <f>IF(AND(calc3!I44=TRUE,
                         ROUNDUP(calc3!A44/calc1!$N$3,0)&lt;=calc1!$O$3),
      calc1!$O$6-initialize!$Q$3,
      "")</f>
        <v/>
      </c>
      <c r="I44" s="23" t="str">
        <f>IF(AND(calc3!A44&gt;0,
                         calc3!A44&lt;=calc1!$H$2),
      IF(MOD(calc3!A44-1,modify!$B$6)=0,
            TRUE,
            FALSE),
      "")</f>
        <v/>
      </c>
      <c r="J44" s="69" t="str">
        <f>IF(I44=TRUE,
      IF(MOD(calc3!B44,modify!$K$2)=0,
            TRUE,
            FALSE),
      "")</f>
        <v/>
      </c>
      <c r="K44" s="20" t="str">
        <f>IF(I44=TRUE,
   "G0"&amp;
      " Z"&amp;calc1!$U$3&amp;
      " F"&amp; initialize!$W$3&amp;
      CHAR(10)&amp;
    "G0"&amp;
      " X"&amp;E44&amp;
      " Y"&amp;F44&amp;
      " F"&amp; initialize!$W$2&amp;
       REPT(CHAR(9),4)&amp;
       "; move to sample No. "&amp;A44&amp;
      CHAR(10)&amp;
   "G0"&amp;
      " Z"&amp;calc1!$T$3&amp;
      " F"&amp;initialize!$W$3,
 "")</f>
        <v/>
      </c>
      <c r="L44" s="71" t="str">
        <f>IF(calc3!I44=TRUE,
   "G0 "&amp;
      "Z"&amp;calc1!$U$3 &amp;
      " F"&amp;initialize!$W$3&amp;
      CHAR(10)&amp;
   "G0"&amp;
      " X"&amp;calc3!G44&amp;
      " Y"&amp;H44&amp;
      " F"&amp;initialize!$W$2&amp;
       REPT(CHAR(9),4)&amp;
       "; move to spot No."&amp;B44&amp;
      CHAR(10)&amp;
   "G0"&amp;
      " Z"&amp;calc1!$P$6+initialize!$Q$4&amp;
      " F"&amp;initialize!$W$3&amp;
       REPT(CHAR(9),5)&amp;
       "; decrease z-velocity for contact with TLC"&amp;
      CHAR(10)&amp;
   "G0"&amp;
      " Z"&amp;calc1!$P$6&amp;
      " F"&amp;initialize!$W$4,
  "")</f>
        <v/>
      </c>
      <c r="M44" s="20" t="str">
        <f>IF(AND(calc3!J44=TRUE,I45&lt;&gt;"", modify!$K$3&gt;0),
        "; cleaning process"&amp;
         CHAR(10)&amp;
         calc2!$C$8 &amp;
          REPT(
               CHAR(10)&amp;
               calc2!$C$8, modify!$K$3-1),
      "")</f>
        <v/>
      </c>
      <c r="N44" s="71" t="str">
        <f>IF(calc3!I44=TRUE,
      CHAR(10)&amp;
      "; Spot No."&amp;B44&amp;
      CHAR(10)&amp;
             IF(K44="", "", K44)&amp;                        REPLACE(N("rack"),1,1,"")&amp;CHAR(10)&amp;
             IF(calc2!$A$5="","",calc2!$A$5)&amp;        REPLACE(N("retraction"),1,1,"")&amp;CHAR(10)&amp;
             IF(L44="", "", L44)&amp;                           REPLACE(N("TLC"),1,1,"")&amp;CHAR(10)&amp;
             IF(calc2!$B$5="","",calc2!$B$5)&amp;         REPLACE(N("extrusion"),1,1,"")&amp;CHAR(10)&amp;
             IF(calc2!$C$5="","",calc2!$C$5)&amp;         REPLACE(N("waste"),1,1,"")&amp;CHAR(10)&amp;
             IF(M44="", "", M44)&amp;                          REPLACE(N("cleaning process"),1,1,""),
      "")</f>
        <v/>
      </c>
    </row>
    <row r="45" spans="1:14" ht="14.65" customHeight="1">
      <c r="A45" s="19">
        <v>44</v>
      </c>
      <c r="B45" s="69" t="str">
        <f>IF(calc3!I45=TRUE,
      COUNTIF(calc3!$I$2:I45,TRUE),
      "")</f>
        <v/>
      </c>
      <c r="C45" s="44" t="str">
        <f>IF(calc3!I45=TRUE,ROUNDUP(calc3!A45/calc1!$N$3,0),"")</f>
        <v/>
      </c>
      <c r="D45" s="69" t="str">
        <f>IF(calc3!I45=TRUE,MOD((calc3!A45-1),calc1!$N$3),"")</f>
        <v/>
      </c>
      <c r="E45" s="23" t="str">
        <f>IF(AND(calc3!I45=TRUE,
                         C45&lt;=calc1!$O$3),
      INT((calc3!A45-1)/calc1!$N$3)*calc1!$H$5+calc1!$P$3,
      "")</f>
        <v/>
      </c>
      <c r="F45" s="69" t="str">
        <f>IF(AND(calc3!I45=TRUE,
                        C45&lt;=calc1!$O$3),
      IF(
            calc1!$N$3=1,
                  calc1!$Q$3,
            IF(modify!$B$3="s-shape, starting at back left corner",
                  IF(ISODD(C45),
                             calc1!Q$3+D45*calc1!$H$4,
                              calc1!$S$3-D45*calc1!$H$4),
           IF(modify!$B$3="s-shape, starting at front left corner",
                  IF(ISEVEN(C45),
                              calc1!$Q$3+D45*calc1!$H$4,
                              calc1!$S$3-D45*calc1!$H$4),
            IF(modify!$B$3="non alternating, starting at back left corner",
                  calc1!$Q$3+D45*calc1!$H$4,
            IF(modify!$B$3="non alternating, starting at front left corner",
                  calc1!$S$3-D45*calc1!$H$4,
      ""))))),"")</f>
        <v/>
      </c>
      <c r="G45" s="23" t="str">
        <f>IF(calc3!I45=TRUE,
      IF(
            calc3!B45&lt;=calc1!$E$3,
                  calc1!$N$6-initialize!$Q$2/(calc1!$E$3+1)*calc3!B45,
            IF(calc3!B45&lt;=calc1!$E$3+calc1!$E$4,
                  calc1!$N$6-initialize!$Q$2/(calc1!$E$4+1)*(calc3!B45-calc1!$E$3)-calc1!$E$2-initialize!$Q$2,
           IF(calc3!B45&lt;=calc1!$H$3,
                  calc1!$N$6-initialize!$Q$2/(calc1!$E$5+1)*(calc3!B45-calc1!$E$3-calc1!$E$4)-(calc1!$E$2+initialize!$Q$2)*2,""))),"")</f>
        <v/>
      </c>
      <c r="H45" s="69" t="str">
        <f>IF(AND(calc3!I45=TRUE,
                         ROUNDUP(calc3!A45/calc1!$N$3,0)&lt;=calc1!$O$3),
      calc1!$O$6-initialize!$Q$3,
      "")</f>
        <v/>
      </c>
      <c r="I45" s="23" t="str">
        <f>IF(AND(calc3!A45&gt;0,
                         calc3!A45&lt;=calc1!$H$2),
      IF(MOD(calc3!A45-1,modify!$B$6)=0,
            TRUE,
            FALSE),
      "")</f>
        <v/>
      </c>
      <c r="J45" s="69" t="str">
        <f>IF(I45=TRUE,
      IF(MOD(calc3!B45,modify!$K$2)=0,
            TRUE,
            FALSE),
      "")</f>
        <v/>
      </c>
      <c r="K45" s="20" t="str">
        <f>IF(I45=TRUE,
   "G0"&amp;
      " Z"&amp;calc1!$U$3&amp;
      " F"&amp; initialize!$W$3&amp;
      CHAR(10)&amp;
    "G0"&amp;
      " X"&amp;E45&amp;
      " Y"&amp;F45&amp;
      " F"&amp; initialize!$W$2&amp;
       REPT(CHAR(9),4)&amp;
       "; move to sample No. "&amp;A45&amp;
      CHAR(10)&amp;
   "G0"&amp;
      " Z"&amp;calc1!$T$3&amp;
      " F"&amp;initialize!$W$3,
 "")</f>
        <v/>
      </c>
      <c r="L45" s="71" t="str">
        <f>IF(calc3!I45=TRUE,
   "G0 "&amp;
      "Z"&amp;calc1!$U$3 &amp;
      " F"&amp;initialize!$W$3&amp;
      CHAR(10)&amp;
   "G0"&amp;
      " X"&amp;calc3!G45&amp;
      " Y"&amp;H45&amp;
      " F"&amp;initialize!$W$2&amp;
       REPT(CHAR(9),4)&amp;
       "; move to spot No."&amp;B45&amp;
      CHAR(10)&amp;
   "G0"&amp;
      " Z"&amp;calc1!$P$6+initialize!$Q$4&amp;
      " F"&amp;initialize!$W$3&amp;
       REPT(CHAR(9),5)&amp;
       "; decrease z-velocity for contact with TLC"&amp;
      CHAR(10)&amp;
   "G0"&amp;
      " Z"&amp;calc1!$P$6&amp;
      " F"&amp;initialize!$W$4,
  "")</f>
        <v/>
      </c>
      <c r="M45" s="20" t="str">
        <f>IF(AND(calc3!J45=TRUE,I46&lt;&gt;"", modify!$K$3&gt;0),
        "; cleaning process"&amp;
         CHAR(10)&amp;
         calc2!$C$8 &amp;
          REPT(
               CHAR(10)&amp;
               calc2!$C$8, modify!$K$3-1),
      "")</f>
        <v/>
      </c>
      <c r="N45" s="71" t="str">
        <f>IF(calc3!I45=TRUE,
      CHAR(10)&amp;
      "; Spot No."&amp;B45&amp;
      CHAR(10)&amp;
             IF(K45="", "", K45)&amp;                        REPLACE(N("rack"),1,1,"")&amp;CHAR(10)&amp;
             IF(calc2!$A$5="","",calc2!$A$5)&amp;        REPLACE(N("retraction"),1,1,"")&amp;CHAR(10)&amp;
             IF(L45="", "", L45)&amp;                           REPLACE(N("TLC"),1,1,"")&amp;CHAR(10)&amp;
             IF(calc2!$B$5="","",calc2!$B$5)&amp;         REPLACE(N("extrusion"),1,1,"")&amp;CHAR(10)&amp;
             IF(calc2!$C$5="","",calc2!$C$5)&amp;         REPLACE(N("waste"),1,1,"")&amp;CHAR(10)&amp;
             IF(M45="", "", M45)&amp;                          REPLACE(N("cleaning process"),1,1,""),
      "")</f>
        <v/>
      </c>
    </row>
    <row r="46" spans="1:14" ht="14.65" customHeight="1">
      <c r="A46" s="19">
        <v>45</v>
      </c>
      <c r="B46" s="69" t="str">
        <f>IF(calc3!I46=TRUE,
      COUNTIF(calc3!$I$2:I46,TRUE),
      "")</f>
        <v/>
      </c>
      <c r="C46" s="44" t="str">
        <f>IF(calc3!I46=TRUE,ROUNDUP(calc3!A46/calc1!$N$3,0),"")</f>
        <v/>
      </c>
      <c r="D46" s="69" t="str">
        <f>IF(calc3!I46=TRUE,MOD((calc3!A46-1),calc1!$N$3),"")</f>
        <v/>
      </c>
      <c r="E46" s="23" t="str">
        <f>IF(AND(calc3!I46=TRUE,
                         C46&lt;=calc1!$O$3),
      INT((calc3!A46-1)/calc1!$N$3)*calc1!$H$5+calc1!$P$3,
      "")</f>
        <v/>
      </c>
      <c r="F46" s="69" t="str">
        <f>IF(AND(calc3!I46=TRUE,
                        C46&lt;=calc1!$O$3),
      IF(
            calc1!$N$3=1,
                  calc1!$Q$3,
            IF(modify!$B$3="s-shape, starting at back left corner",
                  IF(ISODD(C46),
                             calc1!Q$3+D46*calc1!$H$4,
                              calc1!$S$3-D46*calc1!$H$4),
           IF(modify!$B$3="s-shape, starting at front left corner",
                  IF(ISEVEN(C46),
                              calc1!$Q$3+D46*calc1!$H$4,
                              calc1!$S$3-D46*calc1!$H$4),
            IF(modify!$B$3="non alternating, starting at back left corner",
                  calc1!$Q$3+D46*calc1!$H$4,
            IF(modify!$B$3="non alternating, starting at front left corner",
                  calc1!$S$3-D46*calc1!$H$4,
      ""))))),"")</f>
        <v/>
      </c>
      <c r="G46" s="23" t="str">
        <f>IF(calc3!I46=TRUE,
      IF(
            calc3!B46&lt;=calc1!$E$3,
                  calc1!$N$6-initialize!$Q$2/(calc1!$E$3+1)*calc3!B46,
            IF(calc3!B46&lt;=calc1!$E$3+calc1!$E$4,
                  calc1!$N$6-initialize!$Q$2/(calc1!$E$4+1)*(calc3!B46-calc1!$E$3)-calc1!$E$2-initialize!$Q$2,
           IF(calc3!B46&lt;=calc1!$H$3,
                  calc1!$N$6-initialize!$Q$2/(calc1!$E$5+1)*(calc3!B46-calc1!$E$3-calc1!$E$4)-(calc1!$E$2+initialize!$Q$2)*2,""))),"")</f>
        <v/>
      </c>
      <c r="H46" s="69" t="str">
        <f>IF(AND(calc3!I46=TRUE,
                         ROUNDUP(calc3!A46/calc1!$N$3,0)&lt;=calc1!$O$3),
      calc1!$O$6-initialize!$Q$3,
      "")</f>
        <v/>
      </c>
      <c r="I46" s="23" t="str">
        <f>IF(AND(calc3!A46&gt;0,
                         calc3!A46&lt;=calc1!$H$2),
      IF(MOD(calc3!A46-1,modify!$B$6)=0,
            TRUE,
            FALSE),
      "")</f>
        <v/>
      </c>
      <c r="J46" s="69" t="str">
        <f>IF(I46=TRUE,
      IF(MOD(calc3!B46,modify!$K$2)=0,
            TRUE,
            FALSE),
      "")</f>
        <v/>
      </c>
      <c r="K46" s="20" t="str">
        <f>IF(I46=TRUE,
   "G0"&amp;
      " Z"&amp;calc1!$U$3&amp;
      " F"&amp; initialize!$W$3&amp;
      CHAR(10)&amp;
    "G0"&amp;
      " X"&amp;E46&amp;
      " Y"&amp;F46&amp;
      " F"&amp; initialize!$W$2&amp;
       REPT(CHAR(9),4)&amp;
       "; move to sample No. "&amp;A46&amp;
      CHAR(10)&amp;
   "G0"&amp;
      " Z"&amp;calc1!$T$3&amp;
      " F"&amp;initialize!$W$3,
 "")</f>
        <v/>
      </c>
      <c r="L46" s="71" t="str">
        <f>IF(calc3!I46=TRUE,
   "G0 "&amp;
      "Z"&amp;calc1!$U$3 &amp;
      " F"&amp;initialize!$W$3&amp;
      CHAR(10)&amp;
   "G0"&amp;
      " X"&amp;calc3!G46&amp;
      " Y"&amp;H46&amp;
      " F"&amp;initialize!$W$2&amp;
       REPT(CHAR(9),4)&amp;
       "; move to spot No."&amp;B46&amp;
      CHAR(10)&amp;
   "G0"&amp;
      " Z"&amp;calc1!$P$6+initialize!$Q$4&amp;
      " F"&amp;initialize!$W$3&amp;
       REPT(CHAR(9),5)&amp;
       "; decrease z-velocity for contact with TLC"&amp;
      CHAR(10)&amp;
   "G0"&amp;
      " Z"&amp;calc1!$P$6&amp;
      " F"&amp;initialize!$W$4,
  "")</f>
        <v/>
      </c>
      <c r="M46" s="20" t="str">
        <f>IF(AND(calc3!J46=TRUE,I47&lt;&gt;"", modify!$K$3&gt;0),
        "; cleaning process"&amp;
         CHAR(10)&amp;
         calc2!$C$8 &amp;
          REPT(
               CHAR(10)&amp;
               calc2!$C$8, modify!$K$3-1),
      "")</f>
        <v/>
      </c>
      <c r="N46" s="71" t="str">
        <f>IF(calc3!I46=TRUE,
      CHAR(10)&amp;
      "; Spot No."&amp;B46&amp;
      CHAR(10)&amp;
             IF(K46="", "", K46)&amp;                        REPLACE(N("rack"),1,1,"")&amp;CHAR(10)&amp;
             IF(calc2!$A$5="","",calc2!$A$5)&amp;        REPLACE(N("retraction"),1,1,"")&amp;CHAR(10)&amp;
             IF(L46="", "", L46)&amp;                           REPLACE(N("TLC"),1,1,"")&amp;CHAR(10)&amp;
             IF(calc2!$B$5="","",calc2!$B$5)&amp;         REPLACE(N("extrusion"),1,1,"")&amp;CHAR(10)&amp;
             IF(calc2!$C$5="","",calc2!$C$5)&amp;         REPLACE(N("waste"),1,1,"")&amp;CHAR(10)&amp;
             IF(M46="", "", M46)&amp;                          REPLACE(N("cleaning process"),1,1,""),
      "")</f>
        <v/>
      </c>
    </row>
    <row r="47" spans="1:14" ht="14.65" customHeight="1">
      <c r="A47" s="19">
        <v>46</v>
      </c>
      <c r="B47" s="69" t="str">
        <f>IF(calc3!I47=TRUE,
      COUNTIF(calc3!$I$2:I47,TRUE),
      "")</f>
        <v/>
      </c>
      <c r="C47" s="44" t="str">
        <f>IF(calc3!I47=TRUE,ROUNDUP(calc3!A47/calc1!$N$3,0),"")</f>
        <v/>
      </c>
      <c r="D47" s="69" t="str">
        <f>IF(calc3!I47=TRUE,MOD((calc3!A47-1),calc1!$N$3),"")</f>
        <v/>
      </c>
      <c r="E47" s="23" t="str">
        <f>IF(AND(calc3!I47=TRUE,
                         C47&lt;=calc1!$O$3),
      INT((calc3!A47-1)/calc1!$N$3)*calc1!$H$5+calc1!$P$3,
      "")</f>
        <v/>
      </c>
      <c r="F47" s="69" t="str">
        <f>IF(AND(calc3!I47=TRUE,
                        C47&lt;=calc1!$O$3),
      IF(
            calc1!$N$3=1,
                  calc1!$Q$3,
            IF(modify!$B$3="s-shape, starting at back left corner",
                  IF(ISODD(C47),
                             calc1!Q$3+D47*calc1!$H$4,
                              calc1!$S$3-D47*calc1!$H$4),
           IF(modify!$B$3="s-shape, starting at front left corner",
                  IF(ISEVEN(C47),
                              calc1!$Q$3+D47*calc1!$H$4,
                              calc1!$S$3-D47*calc1!$H$4),
            IF(modify!$B$3="non alternating, starting at back left corner",
                  calc1!$Q$3+D47*calc1!$H$4,
            IF(modify!$B$3="non alternating, starting at front left corner",
                  calc1!$S$3-D47*calc1!$H$4,
      ""))))),"")</f>
        <v/>
      </c>
      <c r="G47" s="23" t="str">
        <f>IF(calc3!I47=TRUE,
      IF(
            calc3!B47&lt;=calc1!$E$3,
                  calc1!$N$6-initialize!$Q$2/(calc1!$E$3+1)*calc3!B47,
            IF(calc3!B47&lt;=calc1!$E$3+calc1!$E$4,
                  calc1!$N$6-initialize!$Q$2/(calc1!$E$4+1)*(calc3!B47-calc1!$E$3)-calc1!$E$2-initialize!$Q$2,
           IF(calc3!B47&lt;=calc1!$H$3,
                  calc1!$N$6-initialize!$Q$2/(calc1!$E$5+1)*(calc3!B47-calc1!$E$3-calc1!$E$4)-(calc1!$E$2+initialize!$Q$2)*2,""))),"")</f>
        <v/>
      </c>
      <c r="H47" s="69" t="str">
        <f>IF(AND(calc3!I47=TRUE,
                         ROUNDUP(calc3!A47/calc1!$N$3,0)&lt;=calc1!$O$3),
      calc1!$O$6-initialize!$Q$3,
      "")</f>
        <v/>
      </c>
      <c r="I47" s="23" t="str">
        <f>IF(AND(calc3!A47&gt;0,
                         calc3!A47&lt;=calc1!$H$2),
      IF(MOD(calc3!A47-1,modify!$B$6)=0,
            TRUE,
            FALSE),
      "")</f>
        <v/>
      </c>
      <c r="J47" s="69" t="str">
        <f>IF(I47=TRUE,
      IF(MOD(calc3!B47,modify!$K$2)=0,
            TRUE,
            FALSE),
      "")</f>
        <v/>
      </c>
      <c r="K47" s="20" t="str">
        <f>IF(I47=TRUE,
   "G0"&amp;
      " Z"&amp;calc1!$U$3&amp;
      " F"&amp; initialize!$W$3&amp;
      CHAR(10)&amp;
    "G0"&amp;
      " X"&amp;E47&amp;
      " Y"&amp;F47&amp;
      " F"&amp; initialize!$W$2&amp;
       REPT(CHAR(9),4)&amp;
       "; move to sample No. "&amp;A47&amp;
      CHAR(10)&amp;
   "G0"&amp;
      " Z"&amp;calc1!$T$3&amp;
      " F"&amp;initialize!$W$3,
 "")</f>
        <v/>
      </c>
      <c r="L47" s="71" t="str">
        <f>IF(calc3!I47=TRUE,
   "G0 "&amp;
      "Z"&amp;calc1!$U$3 &amp;
      " F"&amp;initialize!$W$3&amp;
      CHAR(10)&amp;
   "G0"&amp;
      " X"&amp;calc3!G47&amp;
      " Y"&amp;H47&amp;
      " F"&amp;initialize!$W$2&amp;
       REPT(CHAR(9),4)&amp;
       "; move to spot No."&amp;B47&amp;
      CHAR(10)&amp;
   "G0"&amp;
      " Z"&amp;calc1!$P$6+initialize!$Q$4&amp;
      " F"&amp;initialize!$W$3&amp;
       REPT(CHAR(9),5)&amp;
       "; decrease z-velocity for contact with TLC"&amp;
      CHAR(10)&amp;
   "G0"&amp;
      " Z"&amp;calc1!$P$6&amp;
      " F"&amp;initialize!$W$4,
  "")</f>
        <v/>
      </c>
      <c r="M47" s="20" t="str">
        <f>IF(AND(calc3!J47=TRUE,I48&lt;&gt;"", modify!$K$3&gt;0),
        "; cleaning process"&amp;
         CHAR(10)&amp;
         calc2!$C$8 &amp;
          REPT(
               CHAR(10)&amp;
               calc2!$C$8, modify!$K$3-1),
      "")</f>
        <v/>
      </c>
      <c r="N47" s="71" t="str">
        <f>IF(calc3!I47=TRUE,
      CHAR(10)&amp;
      "; Spot No."&amp;B47&amp;
      CHAR(10)&amp;
             IF(K47="", "", K47)&amp;                        REPLACE(N("rack"),1,1,"")&amp;CHAR(10)&amp;
             IF(calc2!$A$5="","",calc2!$A$5)&amp;        REPLACE(N("retraction"),1,1,"")&amp;CHAR(10)&amp;
             IF(L47="", "", L47)&amp;                           REPLACE(N("TLC"),1,1,"")&amp;CHAR(10)&amp;
             IF(calc2!$B$5="","",calc2!$B$5)&amp;         REPLACE(N("extrusion"),1,1,"")&amp;CHAR(10)&amp;
             IF(calc2!$C$5="","",calc2!$C$5)&amp;         REPLACE(N("waste"),1,1,"")&amp;CHAR(10)&amp;
             IF(M47="", "", M47)&amp;                          REPLACE(N("cleaning process"),1,1,""),
      "")</f>
        <v/>
      </c>
    </row>
    <row r="48" spans="1:14" ht="14.65" customHeight="1">
      <c r="A48" s="19">
        <v>47</v>
      </c>
      <c r="B48" s="69" t="str">
        <f>IF(calc3!I48=TRUE,
      COUNTIF(calc3!$I$2:I48,TRUE),
      "")</f>
        <v/>
      </c>
      <c r="C48" s="44" t="str">
        <f>IF(calc3!I48=TRUE,ROUNDUP(calc3!A48/calc1!$N$3,0),"")</f>
        <v/>
      </c>
      <c r="D48" s="69" t="str">
        <f>IF(calc3!I48=TRUE,MOD((calc3!A48-1),calc1!$N$3),"")</f>
        <v/>
      </c>
      <c r="E48" s="23" t="str">
        <f>IF(AND(calc3!I48=TRUE,
                         C48&lt;=calc1!$O$3),
      INT((calc3!A48-1)/calc1!$N$3)*calc1!$H$5+calc1!$P$3,
      "")</f>
        <v/>
      </c>
      <c r="F48" s="69" t="str">
        <f>IF(AND(calc3!I48=TRUE,
                        C48&lt;=calc1!$O$3),
      IF(
            calc1!$N$3=1,
                  calc1!$Q$3,
            IF(modify!$B$3="s-shape, starting at back left corner",
                  IF(ISODD(C48),
                             calc1!Q$3+D48*calc1!$H$4,
                              calc1!$S$3-D48*calc1!$H$4),
           IF(modify!$B$3="s-shape, starting at front left corner",
                  IF(ISEVEN(C48),
                              calc1!$Q$3+D48*calc1!$H$4,
                              calc1!$S$3-D48*calc1!$H$4),
            IF(modify!$B$3="non alternating, starting at back left corner",
                  calc1!$Q$3+D48*calc1!$H$4,
            IF(modify!$B$3="non alternating, starting at front left corner",
                  calc1!$S$3-D48*calc1!$H$4,
      ""))))),"")</f>
        <v/>
      </c>
      <c r="G48" s="23" t="str">
        <f>IF(calc3!I48=TRUE,
      IF(
            calc3!B48&lt;=calc1!$E$3,
                  calc1!$N$6-initialize!$Q$2/(calc1!$E$3+1)*calc3!B48,
            IF(calc3!B48&lt;=calc1!$E$3+calc1!$E$4,
                  calc1!$N$6-initialize!$Q$2/(calc1!$E$4+1)*(calc3!B48-calc1!$E$3)-calc1!$E$2-initialize!$Q$2,
           IF(calc3!B48&lt;=calc1!$H$3,
                  calc1!$N$6-initialize!$Q$2/(calc1!$E$5+1)*(calc3!B48-calc1!$E$3-calc1!$E$4)-(calc1!$E$2+initialize!$Q$2)*2,""))),"")</f>
        <v/>
      </c>
      <c r="H48" s="69" t="str">
        <f>IF(AND(calc3!I48=TRUE,
                         ROUNDUP(calc3!A48/calc1!$N$3,0)&lt;=calc1!$O$3),
      calc1!$O$6-initialize!$Q$3,
      "")</f>
        <v/>
      </c>
      <c r="I48" s="23" t="str">
        <f>IF(AND(calc3!A48&gt;0,
                         calc3!A48&lt;=calc1!$H$2),
      IF(MOD(calc3!A48-1,modify!$B$6)=0,
            TRUE,
            FALSE),
      "")</f>
        <v/>
      </c>
      <c r="J48" s="69" t="str">
        <f>IF(I48=TRUE,
      IF(MOD(calc3!B48,modify!$K$2)=0,
            TRUE,
            FALSE),
      "")</f>
        <v/>
      </c>
      <c r="K48" s="20" t="str">
        <f>IF(I48=TRUE,
   "G0"&amp;
      " Z"&amp;calc1!$U$3&amp;
      " F"&amp; initialize!$W$3&amp;
      CHAR(10)&amp;
    "G0"&amp;
      " X"&amp;E48&amp;
      " Y"&amp;F48&amp;
      " F"&amp; initialize!$W$2&amp;
       REPT(CHAR(9),4)&amp;
       "; move to sample No. "&amp;A48&amp;
      CHAR(10)&amp;
   "G0"&amp;
      " Z"&amp;calc1!$T$3&amp;
      " F"&amp;initialize!$W$3,
 "")</f>
        <v/>
      </c>
      <c r="L48" s="71" t="str">
        <f>IF(calc3!I48=TRUE,
   "G0 "&amp;
      "Z"&amp;calc1!$U$3 &amp;
      " F"&amp;initialize!$W$3&amp;
      CHAR(10)&amp;
   "G0"&amp;
      " X"&amp;calc3!G48&amp;
      " Y"&amp;H48&amp;
      " F"&amp;initialize!$W$2&amp;
       REPT(CHAR(9),4)&amp;
       "; move to spot No."&amp;B48&amp;
      CHAR(10)&amp;
   "G0"&amp;
      " Z"&amp;calc1!$P$6+initialize!$Q$4&amp;
      " F"&amp;initialize!$W$3&amp;
       REPT(CHAR(9),5)&amp;
       "; decrease z-velocity for contact with TLC"&amp;
      CHAR(10)&amp;
   "G0"&amp;
      " Z"&amp;calc1!$P$6&amp;
      " F"&amp;initialize!$W$4,
  "")</f>
        <v/>
      </c>
      <c r="M48" s="20" t="str">
        <f>IF(AND(calc3!J48=TRUE,I49&lt;&gt;"", modify!$K$3&gt;0),
        "; cleaning process"&amp;
         CHAR(10)&amp;
         calc2!$C$8 &amp;
          REPT(
               CHAR(10)&amp;
               calc2!$C$8, modify!$K$3-1),
      "")</f>
        <v/>
      </c>
      <c r="N48" s="71" t="str">
        <f>IF(calc3!I48=TRUE,
      CHAR(10)&amp;
      "; Spot No."&amp;B48&amp;
      CHAR(10)&amp;
             IF(K48="", "", K48)&amp;                        REPLACE(N("rack"),1,1,"")&amp;CHAR(10)&amp;
             IF(calc2!$A$5="","",calc2!$A$5)&amp;        REPLACE(N("retraction"),1,1,"")&amp;CHAR(10)&amp;
             IF(L48="", "", L48)&amp;                           REPLACE(N("TLC"),1,1,"")&amp;CHAR(10)&amp;
             IF(calc2!$B$5="","",calc2!$B$5)&amp;         REPLACE(N("extrusion"),1,1,"")&amp;CHAR(10)&amp;
             IF(calc2!$C$5="","",calc2!$C$5)&amp;         REPLACE(N("waste"),1,1,"")&amp;CHAR(10)&amp;
             IF(M48="", "", M48)&amp;                          REPLACE(N("cleaning process"),1,1,""),
      "")</f>
        <v/>
      </c>
    </row>
    <row r="49" spans="1:14" ht="14.65" customHeight="1">
      <c r="A49" s="19">
        <v>48</v>
      </c>
      <c r="B49" s="69" t="str">
        <f>IF(calc3!I49=TRUE,
      COUNTIF(calc3!$I$2:I49,TRUE),
      "")</f>
        <v/>
      </c>
      <c r="C49" s="44" t="str">
        <f>IF(calc3!I49=TRUE,ROUNDUP(calc3!A49/calc1!$N$3,0),"")</f>
        <v/>
      </c>
      <c r="D49" s="69" t="str">
        <f>IF(calc3!I49=TRUE,MOD((calc3!A49-1),calc1!$N$3),"")</f>
        <v/>
      </c>
      <c r="E49" s="23" t="str">
        <f>IF(AND(calc3!I49=TRUE,
                         C49&lt;=calc1!$O$3),
      INT((calc3!A49-1)/calc1!$N$3)*calc1!$H$5+calc1!$P$3,
      "")</f>
        <v/>
      </c>
      <c r="F49" s="69" t="str">
        <f>IF(AND(calc3!I49=TRUE,
                        C49&lt;=calc1!$O$3),
      IF(
            calc1!$N$3=1,
                  calc1!$Q$3,
            IF(modify!$B$3="s-shape, starting at back left corner",
                  IF(ISODD(C49),
                             calc1!Q$3+D49*calc1!$H$4,
                              calc1!$S$3-D49*calc1!$H$4),
           IF(modify!$B$3="s-shape, starting at front left corner",
                  IF(ISEVEN(C49),
                              calc1!$Q$3+D49*calc1!$H$4,
                              calc1!$S$3-D49*calc1!$H$4),
            IF(modify!$B$3="non alternating, starting at back left corner",
                  calc1!$Q$3+D49*calc1!$H$4,
            IF(modify!$B$3="non alternating, starting at front left corner",
                  calc1!$S$3-D49*calc1!$H$4,
      ""))))),"")</f>
        <v/>
      </c>
      <c r="G49" s="23" t="str">
        <f>IF(calc3!I49=TRUE,
      IF(
            calc3!B49&lt;=calc1!$E$3,
                  calc1!$N$6-initialize!$Q$2/(calc1!$E$3+1)*calc3!B49,
            IF(calc3!B49&lt;=calc1!$E$3+calc1!$E$4,
                  calc1!$N$6-initialize!$Q$2/(calc1!$E$4+1)*(calc3!B49-calc1!$E$3)-calc1!$E$2-initialize!$Q$2,
           IF(calc3!B49&lt;=calc1!$H$3,
                  calc1!$N$6-initialize!$Q$2/(calc1!$E$5+1)*(calc3!B49-calc1!$E$3-calc1!$E$4)-(calc1!$E$2+initialize!$Q$2)*2,""))),"")</f>
        <v/>
      </c>
      <c r="H49" s="69" t="str">
        <f>IF(AND(calc3!I49=TRUE,
                         ROUNDUP(calc3!A49/calc1!$N$3,0)&lt;=calc1!$O$3),
      calc1!$O$6-initialize!$Q$3,
      "")</f>
        <v/>
      </c>
      <c r="I49" s="23" t="str">
        <f>IF(AND(calc3!A49&gt;0,
                         calc3!A49&lt;=calc1!$H$2),
      IF(MOD(calc3!A49-1,modify!$B$6)=0,
            TRUE,
            FALSE),
      "")</f>
        <v/>
      </c>
      <c r="J49" s="69" t="str">
        <f>IF(I49=TRUE,
      IF(MOD(calc3!B49,modify!$K$2)=0,
            TRUE,
            FALSE),
      "")</f>
        <v/>
      </c>
      <c r="K49" s="20" t="str">
        <f>IF(I49=TRUE,
   "G0"&amp;
      " Z"&amp;calc1!$U$3&amp;
      " F"&amp; initialize!$W$3&amp;
      CHAR(10)&amp;
    "G0"&amp;
      " X"&amp;E49&amp;
      " Y"&amp;F49&amp;
      " F"&amp; initialize!$W$2&amp;
       REPT(CHAR(9),4)&amp;
       "; move to sample No. "&amp;A49&amp;
      CHAR(10)&amp;
   "G0"&amp;
      " Z"&amp;calc1!$T$3&amp;
      " F"&amp;initialize!$W$3,
 "")</f>
        <v/>
      </c>
      <c r="L49" s="71" t="str">
        <f>IF(calc3!I49=TRUE,
   "G0 "&amp;
      "Z"&amp;calc1!$U$3 &amp;
      " F"&amp;initialize!$W$3&amp;
      CHAR(10)&amp;
   "G0"&amp;
      " X"&amp;calc3!G49&amp;
      " Y"&amp;H49&amp;
      " F"&amp;initialize!$W$2&amp;
       REPT(CHAR(9),4)&amp;
       "; move to spot No."&amp;B49&amp;
      CHAR(10)&amp;
   "G0"&amp;
      " Z"&amp;calc1!$P$6+initialize!$Q$4&amp;
      " F"&amp;initialize!$W$3&amp;
       REPT(CHAR(9),5)&amp;
       "; decrease z-velocity for contact with TLC"&amp;
      CHAR(10)&amp;
   "G0"&amp;
      " Z"&amp;calc1!$P$6&amp;
      " F"&amp;initialize!$W$4,
  "")</f>
        <v/>
      </c>
      <c r="M49" s="20" t="str">
        <f>IF(AND(calc3!J49=TRUE,I50&lt;&gt;"", modify!$K$3&gt;0),
        "; cleaning process"&amp;
         CHAR(10)&amp;
         calc2!$C$8 &amp;
          REPT(
               CHAR(10)&amp;
               calc2!$C$8, modify!$K$3-1),
      "")</f>
        <v/>
      </c>
      <c r="N49" s="71" t="str">
        <f>IF(calc3!I49=TRUE,
      CHAR(10)&amp;
      "; Spot No."&amp;B49&amp;
      CHAR(10)&amp;
             IF(K49="", "", K49)&amp;                        REPLACE(N("rack"),1,1,"")&amp;CHAR(10)&amp;
             IF(calc2!$A$5="","",calc2!$A$5)&amp;        REPLACE(N("retraction"),1,1,"")&amp;CHAR(10)&amp;
             IF(L49="", "", L49)&amp;                           REPLACE(N("TLC"),1,1,"")&amp;CHAR(10)&amp;
             IF(calc2!$B$5="","",calc2!$B$5)&amp;         REPLACE(N("extrusion"),1,1,"")&amp;CHAR(10)&amp;
             IF(calc2!$C$5="","",calc2!$C$5)&amp;         REPLACE(N("waste"),1,1,"")&amp;CHAR(10)&amp;
             IF(M49="", "", M49)&amp;                          REPLACE(N("cleaning process"),1,1,""),
      "")</f>
        <v/>
      </c>
    </row>
    <row r="50" spans="1:14" ht="14.65" customHeight="1">
      <c r="A50" s="19">
        <v>49</v>
      </c>
      <c r="B50" s="69" t="str">
        <f>IF(calc3!I50=TRUE,
      COUNTIF(calc3!$I$2:I50,TRUE),
      "")</f>
        <v/>
      </c>
      <c r="C50" s="44" t="str">
        <f>IF(calc3!I50=TRUE,ROUNDUP(calc3!A50/calc1!$N$3,0),"")</f>
        <v/>
      </c>
      <c r="D50" s="69" t="str">
        <f>IF(calc3!I50=TRUE,MOD((calc3!A50-1),calc1!$N$3),"")</f>
        <v/>
      </c>
      <c r="E50" s="23" t="str">
        <f>IF(AND(calc3!I50=TRUE,
                         C50&lt;=calc1!$O$3),
      INT((calc3!A50-1)/calc1!$N$3)*calc1!$H$5+calc1!$P$3,
      "")</f>
        <v/>
      </c>
      <c r="F50" s="69" t="str">
        <f>IF(AND(calc3!I50=TRUE,
                        C50&lt;=calc1!$O$3),
      IF(
            calc1!$N$3=1,
                  calc1!$Q$3,
            IF(modify!$B$3="s-shape, starting at back left corner",
                  IF(ISODD(C50),
                             calc1!Q$3+D50*calc1!$H$4,
                              calc1!$S$3-D50*calc1!$H$4),
           IF(modify!$B$3="s-shape, starting at front left corner",
                  IF(ISEVEN(C50),
                              calc1!$Q$3+D50*calc1!$H$4,
                              calc1!$S$3-D50*calc1!$H$4),
            IF(modify!$B$3="non alternating, starting at back left corner",
                  calc1!$Q$3+D50*calc1!$H$4,
            IF(modify!$B$3="non alternating, starting at front left corner",
                  calc1!$S$3-D50*calc1!$H$4,
      ""))))),"")</f>
        <v/>
      </c>
      <c r="G50" s="23" t="str">
        <f>IF(calc3!I50=TRUE,
      IF(
            calc3!B50&lt;=calc1!$E$3,
                  calc1!$N$6-initialize!$Q$2/(calc1!$E$3+1)*calc3!B50,
            IF(calc3!B50&lt;=calc1!$E$3+calc1!$E$4,
                  calc1!$N$6-initialize!$Q$2/(calc1!$E$4+1)*(calc3!B50-calc1!$E$3)-calc1!$E$2-initialize!$Q$2,
           IF(calc3!B50&lt;=calc1!$H$3,
                  calc1!$N$6-initialize!$Q$2/(calc1!$E$5+1)*(calc3!B50-calc1!$E$3-calc1!$E$4)-(calc1!$E$2+initialize!$Q$2)*2,""))),"")</f>
        <v/>
      </c>
      <c r="H50" s="69" t="str">
        <f>IF(AND(calc3!I50=TRUE,
                         ROUNDUP(calc3!A50/calc1!$N$3,0)&lt;=calc1!$O$3),
      calc1!$O$6-initialize!$Q$3,
      "")</f>
        <v/>
      </c>
      <c r="I50" s="23" t="str">
        <f>IF(AND(calc3!A50&gt;0,
                         calc3!A50&lt;=calc1!$H$2),
      IF(MOD(calc3!A50-1,modify!$B$6)=0,
            TRUE,
            FALSE),
      "")</f>
        <v/>
      </c>
      <c r="J50" s="69" t="str">
        <f>IF(I50=TRUE,
      IF(MOD(calc3!B50,modify!$K$2)=0,
            TRUE,
            FALSE),
      "")</f>
        <v/>
      </c>
      <c r="K50" s="20" t="str">
        <f>IF(I50=TRUE,
   "G0"&amp;
      " Z"&amp;calc1!$U$3&amp;
      " F"&amp; initialize!$W$3&amp;
      CHAR(10)&amp;
    "G0"&amp;
      " X"&amp;E50&amp;
      " Y"&amp;F50&amp;
      " F"&amp; initialize!$W$2&amp;
       REPT(CHAR(9),4)&amp;
       "; move to sample No. "&amp;A50&amp;
      CHAR(10)&amp;
   "G0"&amp;
      " Z"&amp;calc1!$T$3&amp;
      " F"&amp;initialize!$W$3,
 "")</f>
        <v/>
      </c>
      <c r="L50" s="71" t="str">
        <f>IF(calc3!I50=TRUE,
   "G0 "&amp;
      "Z"&amp;calc1!$U$3 &amp;
      " F"&amp;initialize!$W$3&amp;
      CHAR(10)&amp;
   "G0"&amp;
      " X"&amp;calc3!G50&amp;
      " Y"&amp;H50&amp;
      " F"&amp;initialize!$W$2&amp;
       REPT(CHAR(9),4)&amp;
       "; move to spot No."&amp;B50&amp;
      CHAR(10)&amp;
   "G0"&amp;
      " Z"&amp;calc1!$P$6+initialize!$Q$4&amp;
      " F"&amp;initialize!$W$3&amp;
       REPT(CHAR(9),5)&amp;
       "; decrease z-velocity for contact with TLC"&amp;
      CHAR(10)&amp;
   "G0"&amp;
      " Z"&amp;calc1!$P$6&amp;
      " F"&amp;initialize!$W$4,
  "")</f>
        <v/>
      </c>
      <c r="M50" s="20" t="str">
        <f>IF(AND(calc3!J50=TRUE,I51&lt;&gt;"", modify!$K$3&gt;0),
        "; cleaning process"&amp;
         CHAR(10)&amp;
         calc2!$C$8 &amp;
          REPT(
               CHAR(10)&amp;
               calc2!$C$8, modify!$K$3-1),
      "")</f>
        <v/>
      </c>
      <c r="N50" s="71" t="str">
        <f>IF(calc3!I50=TRUE,
      CHAR(10)&amp;
      "; Spot No."&amp;B50&amp;
      CHAR(10)&amp;
             IF(K50="", "", K50)&amp;                        REPLACE(N("rack"),1,1,"")&amp;CHAR(10)&amp;
             IF(calc2!$A$5="","",calc2!$A$5)&amp;        REPLACE(N("retraction"),1,1,"")&amp;CHAR(10)&amp;
             IF(L50="", "", L50)&amp;                           REPLACE(N("TLC"),1,1,"")&amp;CHAR(10)&amp;
             IF(calc2!$B$5="","",calc2!$B$5)&amp;         REPLACE(N("extrusion"),1,1,"")&amp;CHAR(10)&amp;
             IF(calc2!$C$5="","",calc2!$C$5)&amp;         REPLACE(N("waste"),1,1,"")&amp;CHAR(10)&amp;
             IF(M50="", "", M50)&amp;                          REPLACE(N("cleaning process"),1,1,""),
      "")</f>
        <v/>
      </c>
    </row>
    <row r="51" spans="1:14" ht="14.65" customHeight="1">
      <c r="A51" s="19">
        <v>50</v>
      </c>
      <c r="B51" s="69" t="str">
        <f>IF(calc3!I51=TRUE,
      COUNTIF(calc3!$I$2:I51,TRUE),
      "")</f>
        <v/>
      </c>
      <c r="C51" s="44" t="str">
        <f>IF(calc3!I51=TRUE,ROUNDUP(calc3!A51/calc1!$N$3,0),"")</f>
        <v/>
      </c>
      <c r="D51" s="69" t="str">
        <f>IF(calc3!I51=TRUE,MOD((calc3!A51-1),calc1!$N$3),"")</f>
        <v/>
      </c>
      <c r="E51" s="23" t="str">
        <f>IF(AND(calc3!I51=TRUE,
                         C51&lt;=calc1!$O$3),
      INT((calc3!A51-1)/calc1!$N$3)*calc1!$H$5+calc1!$P$3,
      "")</f>
        <v/>
      </c>
      <c r="F51" s="69" t="str">
        <f>IF(AND(calc3!I51=TRUE,
                        C51&lt;=calc1!$O$3),
      IF(
            calc1!$N$3=1,
                  calc1!$Q$3,
            IF(modify!$B$3="s-shape, starting at back left corner",
                  IF(ISODD(C51),
                             calc1!Q$3+D51*calc1!$H$4,
                              calc1!$S$3-D51*calc1!$H$4),
           IF(modify!$B$3="s-shape, starting at front left corner",
                  IF(ISEVEN(C51),
                              calc1!$Q$3+D51*calc1!$H$4,
                              calc1!$S$3-D51*calc1!$H$4),
            IF(modify!$B$3="non alternating, starting at back left corner",
                  calc1!$Q$3+D51*calc1!$H$4,
            IF(modify!$B$3="non alternating, starting at front left corner",
                  calc1!$S$3-D51*calc1!$H$4,
      ""))))),"")</f>
        <v/>
      </c>
      <c r="G51" s="23" t="str">
        <f>IF(calc3!I51=TRUE,
      IF(
            calc3!B51&lt;=calc1!$E$3,
                  calc1!$N$6-initialize!$Q$2/(calc1!$E$3+1)*calc3!B51,
            IF(calc3!B51&lt;=calc1!$E$3+calc1!$E$4,
                  calc1!$N$6-initialize!$Q$2/(calc1!$E$4+1)*(calc3!B51-calc1!$E$3)-calc1!$E$2-initialize!$Q$2,
           IF(calc3!B51&lt;=calc1!$H$3,
                  calc1!$N$6-initialize!$Q$2/(calc1!$E$5+1)*(calc3!B51-calc1!$E$3-calc1!$E$4)-(calc1!$E$2+initialize!$Q$2)*2,""))),"")</f>
        <v/>
      </c>
      <c r="H51" s="69" t="str">
        <f>IF(AND(calc3!I51=TRUE,
                         ROUNDUP(calc3!A51/calc1!$N$3,0)&lt;=calc1!$O$3),
      calc1!$O$6-initialize!$Q$3,
      "")</f>
        <v/>
      </c>
      <c r="I51" s="23" t="str">
        <f>IF(AND(calc3!A51&gt;0,
                         calc3!A51&lt;=calc1!$H$2),
      IF(MOD(calc3!A51-1,modify!$B$6)=0,
            TRUE,
            FALSE),
      "")</f>
        <v/>
      </c>
      <c r="J51" s="69" t="str">
        <f>IF(I51=TRUE,
      IF(MOD(calc3!B51,modify!$K$2)=0,
            TRUE,
            FALSE),
      "")</f>
        <v/>
      </c>
      <c r="K51" s="20" t="str">
        <f>IF(I51=TRUE,
   "G0"&amp;
      " Z"&amp;calc1!$U$3&amp;
      " F"&amp; initialize!$W$3&amp;
      CHAR(10)&amp;
    "G0"&amp;
      " X"&amp;E51&amp;
      " Y"&amp;F51&amp;
      " F"&amp; initialize!$W$2&amp;
       REPT(CHAR(9),4)&amp;
       "; move to sample No. "&amp;A51&amp;
      CHAR(10)&amp;
   "G0"&amp;
      " Z"&amp;calc1!$T$3&amp;
      " F"&amp;initialize!$W$3,
 "")</f>
        <v/>
      </c>
      <c r="L51" s="71" t="str">
        <f>IF(calc3!I51=TRUE,
   "G0 "&amp;
      "Z"&amp;calc1!$U$3 &amp;
      " F"&amp;initialize!$W$3&amp;
      CHAR(10)&amp;
   "G0"&amp;
      " X"&amp;calc3!G51&amp;
      " Y"&amp;H51&amp;
      " F"&amp;initialize!$W$2&amp;
       REPT(CHAR(9),4)&amp;
       "; move to spot No."&amp;B51&amp;
      CHAR(10)&amp;
   "G0"&amp;
      " Z"&amp;calc1!$P$6+initialize!$Q$4&amp;
      " F"&amp;initialize!$W$3&amp;
       REPT(CHAR(9),5)&amp;
       "; decrease z-velocity for contact with TLC"&amp;
      CHAR(10)&amp;
   "G0"&amp;
      " Z"&amp;calc1!$P$6&amp;
      " F"&amp;initialize!$W$4,
  "")</f>
        <v/>
      </c>
      <c r="M51" s="20" t="str">
        <f>IF(AND(calc3!J51=TRUE,I52&lt;&gt;"", modify!$K$3&gt;0),
        "; cleaning process"&amp;
         CHAR(10)&amp;
         calc2!$C$8 &amp;
          REPT(
               CHAR(10)&amp;
               calc2!$C$8, modify!$K$3-1),
      "")</f>
        <v/>
      </c>
      <c r="N51" s="71" t="str">
        <f>IF(calc3!I51=TRUE,
      CHAR(10)&amp;
      "; Spot No."&amp;B51&amp;
      CHAR(10)&amp;
             IF(K51="", "", K51)&amp;                        REPLACE(N("rack"),1,1,"")&amp;CHAR(10)&amp;
             IF(calc2!$A$5="","",calc2!$A$5)&amp;        REPLACE(N("retraction"),1,1,"")&amp;CHAR(10)&amp;
             IF(L51="", "", L51)&amp;                           REPLACE(N("TLC"),1,1,"")&amp;CHAR(10)&amp;
             IF(calc2!$B$5="","",calc2!$B$5)&amp;         REPLACE(N("extrusion"),1,1,"")&amp;CHAR(10)&amp;
             IF(calc2!$C$5="","",calc2!$C$5)&amp;         REPLACE(N("waste"),1,1,"")&amp;CHAR(10)&amp;
             IF(M51="", "", M51)&amp;                          REPLACE(N("cleaning process"),1,1,""),
      "")</f>
        <v/>
      </c>
    </row>
    <row r="52" spans="1:14" ht="14.65" customHeight="1">
      <c r="A52" s="19">
        <v>51</v>
      </c>
      <c r="B52" s="69" t="str">
        <f>IF(calc3!I52=TRUE,
      COUNTIF(calc3!$I$2:I52,TRUE),
      "")</f>
        <v/>
      </c>
      <c r="C52" s="44" t="str">
        <f>IF(calc3!I52=TRUE,ROUNDUP(calc3!A52/calc1!$N$3,0),"")</f>
        <v/>
      </c>
      <c r="D52" s="69" t="str">
        <f>IF(calc3!I52=TRUE,MOD((calc3!A52-1),calc1!$N$3),"")</f>
        <v/>
      </c>
      <c r="E52" s="23" t="str">
        <f>IF(AND(calc3!I52=TRUE,
                         C52&lt;=calc1!$O$3),
      INT((calc3!A52-1)/calc1!$N$3)*calc1!$H$5+calc1!$P$3,
      "")</f>
        <v/>
      </c>
      <c r="F52" s="69" t="str">
        <f>IF(AND(calc3!I52=TRUE,
                        C52&lt;=calc1!$O$3),
      IF(
            calc1!$N$3=1,
                  calc1!$Q$3,
            IF(modify!$B$3="s-shape, starting at back left corner",
                  IF(ISODD(C52),
                             calc1!Q$3+D52*calc1!$H$4,
                              calc1!$S$3-D52*calc1!$H$4),
           IF(modify!$B$3="s-shape, starting at front left corner",
                  IF(ISEVEN(C52),
                              calc1!$Q$3+D52*calc1!$H$4,
                              calc1!$S$3-D52*calc1!$H$4),
            IF(modify!$B$3="non alternating, starting at back left corner",
                  calc1!$Q$3+D52*calc1!$H$4,
            IF(modify!$B$3="non alternating, starting at front left corner",
                  calc1!$S$3-D52*calc1!$H$4,
      ""))))),"")</f>
        <v/>
      </c>
      <c r="G52" s="23" t="str">
        <f>IF(calc3!I52=TRUE,
      IF(
            calc3!B52&lt;=calc1!$E$3,
                  calc1!$N$6-initialize!$Q$2/(calc1!$E$3+1)*calc3!B52,
            IF(calc3!B52&lt;=calc1!$E$3+calc1!$E$4,
                  calc1!$N$6-initialize!$Q$2/(calc1!$E$4+1)*(calc3!B52-calc1!$E$3)-calc1!$E$2-initialize!$Q$2,
           IF(calc3!B52&lt;=calc1!$H$3,
                  calc1!$N$6-initialize!$Q$2/(calc1!$E$5+1)*(calc3!B52-calc1!$E$3-calc1!$E$4)-(calc1!$E$2+initialize!$Q$2)*2,""))),"")</f>
        <v/>
      </c>
      <c r="H52" s="69" t="str">
        <f>IF(AND(calc3!I52=TRUE,
                         ROUNDUP(calc3!A52/calc1!$N$3,0)&lt;=calc1!$O$3),
      calc1!$O$6-initialize!$Q$3,
      "")</f>
        <v/>
      </c>
      <c r="I52" s="23" t="str">
        <f>IF(AND(calc3!A52&gt;0,
                         calc3!A52&lt;=calc1!$H$2),
      IF(MOD(calc3!A52-1,modify!$B$6)=0,
            TRUE,
            FALSE),
      "")</f>
        <v/>
      </c>
      <c r="J52" s="69" t="str">
        <f>IF(I52=TRUE,
      IF(MOD(calc3!B52,modify!$K$2)=0,
            TRUE,
            FALSE),
      "")</f>
        <v/>
      </c>
      <c r="K52" s="20" t="str">
        <f>IF(I52=TRUE,
   "G0"&amp;
      " Z"&amp;calc1!$U$3&amp;
      " F"&amp; initialize!$W$3&amp;
      CHAR(10)&amp;
    "G0"&amp;
      " X"&amp;E52&amp;
      " Y"&amp;F52&amp;
      " F"&amp; initialize!$W$2&amp;
       REPT(CHAR(9),4)&amp;
       "; move to sample No. "&amp;A52&amp;
      CHAR(10)&amp;
   "G0"&amp;
      " Z"&amp;calc1!$T$3&amp;
      " F"&amp;initialize!$W$3,
 "")</f>
        <v/>
      </c>
      <c r="L52" s="71" t="str">
        <f>IF(calc3!I52=TRUE,
   "G0 "&amp;
      "Z"&amp;calc1!$U$3 &amp;
      " F"&amp;initialize!$W$3&amp;
      CHAR(10)&amp;
   "G0"&amp;
      " X"&amp;calc3!G52&amp;
      " Y"&amp;H52&amp;
      " F"&amp;initialize!$W$2&amp;
       REPT(CHAR(9),4)&amp;
       "; move to spot No."&amp;B52&amp;
      CHAR(10)&amp;
   "G0"&amp;
      " Z"&amp;calc1!$P$6+initialize!$Q$4&amp;
      " F"&amp;initialize!$W$3&amp;
       REPT(CHAR(9),5)&amp;
       "; decrease z-velocity for contact with TLC"&amp;
      CHAR(10)&amp;
   "G0"&amp;
      " Z"&amp;calc1!$P$6&amp;
      " F"&amp;initialize!$W$4,
  "")</f>
        <v/>
      </c>
      <c r="M52" s="20" t="str">
        <f>IF(AND(calc3!J52=TRUE,I53&lt;&gt;"", modify!$K$3&gt;0),
        "; cleaning process"&amp;
         CHAR(10)&amp;
         calc2!$C$8 &amp;
          REPT(
               CHAR(10)&amp;
               calc2!$C$8, modify!$K$3-1),
      "")</f>
        <v/>
      </c>
      <c r="N52" s="71" t="str">
        <f>IF(calc3!I52=TRUE,
      CHAR(10)&amp;
      "; Spot No."&amp;B52&amp;
      CHAR(10)&amp;
             IF(K52="", "", K52)&amp;                        REPLACE(N("rack"),1,1,"")&amp;CHAR(10)&amp;
             IF(calc2!$A$5="","",calc2!$A$5)&amp;        REPLACE(N("retraction"),1,1,"")&amp;CHAR(10)&amp;
             IF(L52="", "", L52)&amp;                           REPLACE(N("TLC"),1,1,"")&amp;CHAR(10)&amp;
             IF(calc2!$B$5="","",calc2!$B$5)&amp;         REPLACE(N("extrusion"),1,1,"")&amp;CHAR(10)&amp;
             IF(calc2!$C$5="","",calc2!$C$5)&amp;         REPLACE(N("waste"),1,1,"")&amp;CHAR(10)&amp;
             IF(M52="", "", M52)&amp;                          REPLACE(N("cleaning process"),1,1,""),
      "")</f>
        <v/>
      </c>
    </row>
    <row r="53" spans="1:14" ht="14.65" customHeight="1">
      <c r="A53" s="19">
        <v>52</v>
      </c>
      <c r="B53" s="69" t="str">
        <f>IF(calc3!I53=TRUE,
      COUNTIF(calc3!$I$2:I53,TRUE),
      "")</f>
        <v/>
      </c>
      <c r="C53" s="44" t="str">
        <f>IF(calc3!I53=TRUE,ROUNDUP(calc3!A53/calc1!$N$3,0),"")</f>
        <v/>
      </c>
      <c r="D53" s="69" t="str">
        <f>IF(calc3!I53=TRUE,MOD((calc3!A53-1),calc1!$N$3),"")</f>
        <v/>
      </c>
      <c r="E53" s="23" t="str">
        <f>IF(AND(calc3!I53=TRUE,
                         C53&lt;=calc1!$O$3),
      INT((calc3!A53-1)/calc1!$N$3)*calc1!$H$5+calc1!$P$3,
      "")</f>
        <v/>
      </c>
      <c r="F53" s="69" t="str">
        <f>IF(AND(calc3!I53=TRUE,
                        C53&lt;=calc1!$O$3),
      IF(
            calc1!$N$3=1,
                  calc1!$Q$3,
            IF(modify!$B$3="s-shape, starting at back left corner",
                  IF(ISODD(C53),
                             calc1!Q$3+D53*calc1!$H$4,
                              calc1!$S$3-D53*calc1!$H$4),
           IF(modify!$B$3="s-shape, starting at front left corner",
                  IF(ISEVEN(C53),
                              calc1!$Q$3+D53*calc1!$H$4,
                              calc1!$S$3-D53*calc1!$H$4),
            IF(modify!$B$3="non alternating, starting at back left corner",
                  calc1!$Q$3+D53*calc1!$H$4,
            IF(modify!$B$3="non alternating, starting at front left corner",
                  calc1!$S$3-D53*calc1!$H$4,
      ""))))),"")</f>
        <v/>
      </c>
      <c r="G53" s="23" t="str">
        <f>IF(calc3!I53=TRUE,
      IF(
            calc3!B53&lt;=calc1!$E$3,
                  calc1!$N$6-initialize!$Q$2/(calc1!$E$3+1)*calc3!B53,
            IF(calc3!B53&lt;=calc1!$E$3+calc1!$E$4,
                  calc1!$N$6-initialize!$Q$2/(calc1!$E$4+1)*(calc3!B53-calc1!$E$3)-calc1!$E$2-initialize!$Q$2,
           IF(calc3!B53&lt;=calc1!$H$3,
                  calc1!$N$6-initialize!$Q$2/(calc1!$E$5+1)*(calc3!B53-calc1!$E$3-calc1!$E$4)-(calc1!$E$2+initialize!$Q$2)*2,""))),"")</f>
        <v/>
      </c>
      <c r="H53" s="69" t="str">
        <f>IF(AND(calc3!I53=TRUE,
                         ROUNDUP(calc3!A53/calc1!$N$3,0)&lt;=calc1!$O$3),
      calc1!$O$6-initialize!$Q$3,
      "")</f>
        <v/>
      </c>
      <c r="I53" s="23" t="str">
        <f>IF(AND(calc3!A53&gt;0,
                         calc3!A53&lt;=calc1!$H$2),
      IF(MOD(calc3!A53-1,modify!$B$6)=0,
            TRUE,
            FALSE),
      "")</f>
        <v/>
      </c>
      <c r="J53" s="69" t="str">
        <f>IF(I53=TRUE,
      IF(MOD(calc3!B53,modify!$K$2)=0,
            TRUE,
            FALSE),
      "")</f>
        <v/>
      </c>
      <c r="K53" s="20" t="str">
        <f>IF(I53=TRUE,
   "G0"&amp;
      " Z"&amp;calc1!$U$3&amp;
      " F"&amp; initialize!$W$3&amp;
      CHAR(10)&amp;
    "G0"&amp;
      " X"&amp;E53&amp;
      " Y"&amp;F53&amp;
      " F"&amp; initialize!$W$2&amp;
       REPT(CHAR(9),4)&amp;
       "; move to sample No. "&amp;A53&amp;
      CHAR(10)&amp;
   "G0"&amp;
      " Z"&amp;calc1!$T$3&amp;
      " F"&amp;initialize!$W$3,
 "")</f>
        <v/>
      </c>
      <c r="L53" s="71" t="str">
        <f>IF(calc3!I53=TRUE,
   "G0 "&amp;
      "Z"&amp;calc1!$U$3 &amp;
      " F"&amp;initialize!$W$3&amp;
      CHAR(10)&amp;
   "G0"&amp;
      " X"&amp;calc3!G53&amp;
      " Y"&amp;H53&amp;
      " F"&amp;initialize!$W$2&amp;
       REPT(CHAR(9),4)&amp;
       "; move to spot No."&amp;B53&amp;
      CHAR(10)&amp;
   "G0"&amp;
      " Z"&amp;calc1!$P$6+initialize!$Q$4&amp;
      " F"&amp;initialize!$W$3&amp;
       REPT(CHAR(9),5)&amp;
       "; decrease z-velocity for contact with TLC"&amp;
      CHAR(10)&amp;
   "G0"&amp;
      " Z"&amp;calc1!$P$6&amp;
      " F"&amp;initialize!$W$4,
  "")</f>
        <v/>
      </c>
      <c r="M53" s="20" t="str">
        <f>IF(AND(calc3!J53=TRUE,I54&lt;&gt;"", modify!$K$3&gt;0),
        "; cleaning process"&amp;
         CHAR(10)&amp;
         calc2!$C$8 &amp;
          REPT(
               CHAR(10)&amp;
               calc2!$C$8, modify!$K$3-1),
      "")</f>
        <v/>
      </c>
      <c r="N53" s="71" t="str">
        <f>IF(calc3!I53=TRUE,
      CHAR(10)&amp;
      "; Spot No."&amp;B53&amp;
      CHAR(10)&amp;
             IF(K53="", "", K53)&amp;                        REPLACE(N("rack"),1,1,"")&amp;CHAR(10)&amp;
             IF(calc2!$A$5="","",calc2!$A$5)&amp;        REPLACE(N("retraction"),1,1,"")&amp;CHAR(10)&amp;
             IF(L53="", "", L53)&amp;                           REPLACE(N("TLC"),1,1,"")&amp;CHAR(10)&amp;
             IF(calc2!$B$5="","",calc2!$B$5)&amp;         REPLACE(N("extrusion"),1,1,"")&amp;CHAR(10)&amp;
             IF(calc2!$C$5="","",calc2!$C$5)&amp;         REPLACE(N("waste"),1,1,"")&amp;CHAR(10)&amp;
             IF(M53="", "", M53)&amp;                          REPLACE(N("cleaning process"),1,1,""),
      "")</f>
        <v/>
      </c>
    </row>
    <row r="54" spans="1:14" ht="14.65" customHeight="1">
      <c r="A54" s="19">
        <v>53</v>
      </c>
      <c r="B54" s="69" t="str">
        <f>IF(calc3!I54=TRUE,
      COUNTIF(calc3!$I$2:I54,TRUE),
      "")</f>
        <v/>
      </c>
      <c r="C54" s="44" t="str">
        <f>IF(calc3!I54=TRUE,ROUNDUP(calc3!A54/calc1!$N$3,0),"")</f>
        <v/>
      </c>
      <c r="D54" s="69" t="str">
        <f>IF(calc3!I54=TRUE,MOD((calc3!A54-1),calc1!$N$3),"")</f>
        <v/>
      </c>
      <c r="E54" s="23" t="str">
        <f>IF(AND(calc3!I54=TRUE,
                         C54&lt;=calc1!$O$3),
      INT((calc3!A54-1)/calc1!$N$3)*calc1!$H$5+calc1!$P$3,
      "")</f>
        <v/>
      </c>
      <c r="F54" s="69" t="str">
        <f>IF(AND(calc3!I54=TRUE,
                        C54&lt;=calc1!$O$3),
      IF(
            calc1!$N$3=1,
                  calc1!$Q$3,
            IF(modify!$B$3="s-shape, starting at back left corner",
                  IF(ISODD(C54),
                             calc1!Q$3+D54*calc1!$H$4,
                              calc1!$S$3-D54*calc1!$H$4),
           IF(modify!$B$3="s-shape, starting at front left corner",
                  IF(ISEVEN(C54),
                              calc1!$Q$3+D54*calc1!$H$4,
                              calc1!$S$3-D54*calc1!$H$4),
            IF(modify!$B$3="non alternating, starting at back left corner",
                  calc1!$Q$3+D54*calc1!$H$4,
            IF(modify!$B$3="non alternating, starting at front left corner",
                  calc1!$S$3-D54*calc1!$H$4,
      ""))))),"")</f>
        <v/>
      </c>
      <c r="G54" s="23" t="str">
        <f>IF(calc3!I54=TRUE,
      IF(
            calc3!B54&lt;=calc1!$E$3,
                  calc1!$N$6-initialize!$Q$2/(calc1!$E$3+1)*calc3!B54,
            IF(calc3!B54&lt;=calc1!$E$3+calc1!$E$4,
                  calc1!$N$6-initialize!$Q$2/(calc1!$E$4+1)*(calc3!B54-calc1!$E$3)-calc1!$E$2-initialize!$Q$2,
           IF(calc3!B54&lt;=calc1!$H$3,
                  calc1!$N$6-initialize!$Q$2/(calc1!$E$5+1)*(calc3!B54-calc1!$E$3-calc1!$E$4)-(calc1!$E$2+initialize!$Q$2)*2,""))),"")</f>
        <v/>
      </c>
      <c r="H54" s="69" t="str">
        <f>IF(AND(calc3!I54=TRUE,
                         ROUNDUP(calc3!A54/calc1!$N$3,0)&lt;=calc1!$O$3),
      calc1!$O$6-initialize!$Q$3,
      "")</f>
        <v/>
      </c>
      <c r="I54" s="23" t="str">
        <f>IF(AND(calc3!A54&gt;0,
                         calc3!A54&lt;=calc1!$H$2),
      IF(MOD(calc3!A54-1,modify!$B$6)=0,
            TRUE,
            FALSE),
      "")</f>
        <v/>
      </c>
      <c r="J54" s="69" t="str">
        <f>IF(I54=TRUE,
      IF(MOD(calc3!B54,modify!$K$2)=0,
            TRUE,
            FALSE),
      "")</f>
        <v/>
      </c>
      <c r="K54" s="20" t="str">
        <f>IF(I54=TRUE,
   "G0"&amp;
      " Z"&amp;calc1!$U$3&amp;
      " F"&amp; initialize!$W$3&amp;
      CHAR(10)&amp;
    "G0"&amp;
      " X"&amp;E54&amp;
      " Y"&amp;F54&amp;
      " F"&amp; initialize!$W$2&amp;
       REPT(CHAR(9),4)&amp;
       "; move to sample No. "&amp;A54&amp;
      CHAR(10)&amp;
   "G0"&amp;
      " Z"&amp;calc1!$T$3&amp;
      " F"&amp;initialize!$W$3,
 "")</f>
        <v/>
      </c>
      <c r="L54" s="71" t="str">
        <f>IF(calc3!I54=TRUE,
   "G0 "&amp;
      "Z"&amp;calc1!$U$3 &amp;
      " F"&amp;initialize!$W$3&amp;
      CHAR(10)&amp;
   "G0"&amp;
      " X"&amp;calc3!G54&amp;
      " Y"&amp;H54&amp;
      " F"&amp;initialize!$W$2&amp;
       REPT(CHAR(9),4)&amp;
       "; move to spot No."&amp;B54&amp;
      CHAR(10)&amp;
   "G0"&amp;
      " Z"&amp;calc1!$P$6+initialize!$Q$4&amp;
      " F"&amp;initialize!$W$3&amp;
       REPT(CHAR(9),5)&amp;
       "; decrease z-velocity for contact with TLC"&amp;
      CHAR(10)&amp;
   "G0"&amp;
      " Z"&amp;calc1!$P$6&amp;
      " F"&amp;initialize!$W$4,
  "")</f>
        <v/>
      </c>
      <c r="M54" s="20" t="str">
        <f>IF(AND(calc3!J54=TRUE,I55&lt;&gt;"", modify!$K$3&gt;0),
        "; cleaning process"&amp;
         CHAR(10)&amp;
         calc2!$C$8 &amp;
          REPT(
               CHAR(10)&amp;
               calc2!$C$8, modify!$K$3-1),
      "")</f>
        <v/>
      </c>
      <c r="N54" s="71" t="str">
        <f>IF(calc3!I54=TRUE,
      CHAR(10)&amp;
      "; Spot No."&amp;B54&amp;
      CHAR(10)&amp;
             IF(K54="", "", K54)&amp;                        REPLACE(N("rack"),1,1,"")&amp;CHAR(10)&amp;
             IF(calc2!$A$5="","",calc2!$A$5)&amp;        REPLACE(N("retraction"),1,1,"")&amp;CHAR(10)&amp;
             IF(L54="", "", L54)&amp;                           REPLACE(N("TLC"),1,1,"")&amp;CHAR(10)&amp;
             IF(calc2!$B$5="","",calc2!$B$5)&amp;         REPLACE(N("extrusion"),1,1,"")&amp;CHAR(10)&amp;
             IF(calc2!$C$5="","",calc2!$C$5)&amp;         REPLACE(N("waste"),1,1,"")&amp;CHAR(10)&amp;
             IF(M54="", "", M54)&amp;                          REPLACE(N("cleaning process"),1,1,""),
      "")</f>
        <v/>
      </c>
    </row>
    <row r="55" spans="1:14" ht="14.65" customHeight="1">
      <c r="A55" s="19">
        <v>54</v>
      </c>
      <c r="B55" s="69" t="str">
        <f>IF(calc3!I55=TRUE,
      COUNTIF(calc3!$I$2:I55,TRUE),
      "")</f>
        <v/>
      </c>
      <c r="C55" s="44" t="str">
        <f>IF(calc3!I55=TRUE,ROUNDUP(calc3!A55/calc1!$N$3,0),"")</f>
        <v/>
      </c>
      <c r="D55" s="69" t="str">
        <f>IF(calc3!I55=TRUE,MOD((calc3!A55-1),calc1!$N$3),"")</f>
        <v/>
      </c>
      <c r="E55" s="23" t="str">
        <f>IF(AND(calc3!I55=TRUE,
                         C55&lt;=calc1!$O$3),
      INT((calc3!A55-1)/calc1!$N$3)*calc1!$H$5+calc1!$P$3,
      "")</f>
        <v/>
      </c>
      <c r="F55" s="69" t="str">
        <f>IF(AND(calc3!I55=TRUE,
                        C55&lt;=calc1!$O$3),
      IF(
            calc1!$N$3=1,
                  calc1!$Q$3,
            IF(modify!$B$3="s-shape, starting at back left corner",
                  IF(ISODD(C55),
                             calc1!Q$3+D55*calc1!$H$4,
                              calc1!$S$3-D55*calc1!$H$4),
           IF(modify!$B$3="s-shape, starting at front left corner",
                  IF(ISEVEN(C55),
                              calc1!$Q$3+D55*calc1!$H$4,
                              calc1!$S$3-D55*calc1!$H$4),
            IF(modify!$B$3="non alternating, starting at back left corner",
                  calc1!$Q$3+D55*calc1!$H$4,
            IF(modify!$B$3="non alternating, starting at front left corner",
                  calc1!$S$3-D55*calc1!$H$4,
      ""))))),"")</f>
        <v/>
      </c>
      <c r="G55" s="23" t="str">
        <f>IF(calc3!I55=TRUE,
      IF(
            calc3!B55&lt;=calc1!$E$3,
                  calc1!$N$6-initialize!$Q$2/(calc1!$E$3+1)*calc3!B55,
            IF(calc3!B55&lt;=calc1!$E$3+calc1!$E$4,
                  calc1!$N$6-initialize!$Q$2/(calc1!$E$4+1)*(calc3!B55-calc1!$E$3)-calc1!$E$2-initialize!$Q$2,
           IF(calc3!B55&lt;=calc1!$H$3,
                  calc1!$N$6-initialize!$Q$2/(calc1!$E$5+1)*(calc3!B55-calc1!$E$3-calc1!$E$4)-(calc1!$E$2+initialize!$Q$2)*2,""))),"")</f>
        <v/>
      </c>
      <c r="H55" s="69" t="str">
        <f>IF(AND(calc3!I55=TRUE,
                         ROUNDUP(calc3!A55/calc1!$N$3,0)&lt;=calc1!$O$3),
      calc1!$O$6-initialize!$Q$3,
      "")</f>
        <v/>
      </c>
      <c r="I55" s="23" t="str">
        <f>IF(AND(calc3!A55&gt;0,
                         calc3!A55&lt;=calc1!$H$2),
      IF(MOD(calc3!A55-1,modify!$B$6)=0,
            TRUE,
            FALSE),
      "")</f>
        <v/>
      </c>
      <c r="J55" s="69" t="str">
        <f>IF(I55=TRUE,
      IF(MOD(calc3!B55,modify!$K$2)=0,
            TRUE,
            FALSE),
      "")</f>
        <v/>
      </c>
      <c r="K55" s="20" t="str">
        <f>IF(I55=TRUE,
   "G0"&amp;
      " Z"&amp;calc1!$U$3&amp;
      " F"&amp; initialize!$W$3&amp;
      CHAR(10)&amp;
    "G0"&amp;
      " X"&amp;E55&amp;
      " Y"&amp;F55&amp;
      " F"&amp; initialize!$W$2&amp;
       REPT(CHAR(9),4)&amp;
       "; move to sample No. "&amp;A55&amp;
      CHAR(10)&amp;
   "G0"&amp;
      " Z"&amp;calc1!$T$3&amp;
      " F"&amp;initialize!$W$3,
 "")</f>
        <v/>
      </c>
      <c r="L55" s="71" t="str">
        <f>IF(calc3!I55=TRUE,
   "G0 "&amp;
      "Z"&amp;calc1!$U$3 &amp;
      " F"&amp;initialize!$W$3&amp;
      CHAR(10)&amp;
   "G0"&amp;
      " X"&amp;calc3!G55&amp;
      " Y"&amp;H55&amp;
      " F"&amp;initialize!$W$2&amp;
       REPT(CHAR(9),4)&amp;
       "; move to spot No."&amp;B55&amp;
      CHAR(10)&amp;
   "G0"&amp;
      " Z"&amp;calc1!$P$6+initialize!$Q$4&amp;
      " F"&amp;initialize!$W$3&amp;
       REPT(CHAR(9),5)&amp;
       "; decrease z-velocity for contact with TLC"&amp;
      CHAR(10)&amp;
   "G0"&amp;
      " Z"&amp;calc1!$P$6&amp;
      " F"&amp;initialize!$W$4,
  "")</f>
        <v/>
      </c>
      <c r="M55" s="20" t="str">
        <f>IF(AND(calc3!J55=TRUE,I56&lt;&gt;"", modify!$K$3&gt;0),
        "; cleaning process"&amp;
         CHAR(10)&amp;
         calc2!$C$8 &amp;
          REPT(
               CHAR(10)&amp;
               calc2!$C$8, modify!$K$3-1),
      "")</f>
        <v/>
      </c>
      <c r="N55" s="71" t="str">
        <f>IF(calc3!I55=TRUE,
      CHAR(10)&amp;
      "; Spot No."&amp;B55&amp;
      CHAR(10)&amp;
             IF(K55="", "", K55)&amp;                        REPLACE(N("rack"),1,1,"")&amp;CHAR(10)&amp;
             IF(calc2!$A$5="","",calc2!$A$5)&amp;        REPLACE(N("retraction"),1,1,"")&amp;CHAR(10)&amp;
             IF(L55="", "", L55)&amp;                           REPLACE(N("TLC"),1,1,"")&amp;CHAR(10)&amp;
             IF(calc2!$B$5="","",calc2!$B$5)&amp;         REPLACE(N("extrusion"),1,1,"")&amp;CHAR(10)&amp;
             IF(calc2!$C$5="","",calc2!$C$5)&amp;         REPLACE(N("waste"),1,1,"")&amp;CHAR(10)&amp;
             IF(M55="", "", M55)&amp;                          REPLACE(N("cleaning process"),1,1,""),
      "")</f>
        <v/>
      </c>
    </row>
    <row r="56" spans="1:14" ht="14.65" customHeight="1">
      <c r="A56" s="19">
        <v>55</v>
      </c>
      <c r="B56" s="69" t="str">
        <f>IF(calc3!I56=TRUE,
      COUNTIF(calc3!$I$2:I56,TRUE),
      "")</f>
        <v/>
      </c>
      <c r="C56" s="44" t="str">
        <f>IF(calc3!I56=TRUE,ROUNDUP(calc3!A56/calc1!$N$3,0),"")</f>
        <v/>
      </c>
      <c r="D56" s="69" t="str">
        <f>IF(calc3!I56=TRUE,MOD((calc3!A56-1),calc1!$N$3),"")</f>
        <v/>
      </c>
      <c r="E56" s="23" t="str">
        <f>IF(AND(calc3!I56=TRUE,
                         C56&lt;=calc1!$O$3),
      INT((calc3!A56-1)/calc1!$N$3)*calc1!$H$5+calc1!$P$3,
      "")</f>
        <v/>
      </c>
      <c r="F56" s="69" t="str">
        <f>IF(AND(calc3!I56=TRUE,
                        C56&lt;=calc1!$O$3),
      IF(
            calc1!$N$3=1,
                  calc1!$Q$3,
            IF(modify!$B$3="s-shape, starting at back left corner",
                  IF(ISODD(C56),
                             calc1!Q$3+D56*calc1!$H$4,
                              calc1!$S$3-D56*calc1!$H$4),
           IF(modify!$B$3="s-shape, starting at front left corner",
                  IF(ISEVEN(C56),
                              calc1!$Q$3+D56*calc1!$H$4,
                              calc1!$S$3-D56*calc1!$H$4),
            IF(modify!$B$3="non alternating, starting at back left corner",
                  calc1!$Q$3+D56*calc1!$H$4,
            IF(modify!$B$3="non alternating, starting at front left corner",
                  calc1!$S$3-D56*calc1!$H$4,
      ""))))),"")</f>
        <v/>
      </c>
      <c r="G56" s="23" t="str">
        <f>IF(calc3!I56=TRUE,
      IF(
            calc3!B56&lt;=calc1!$E$3,
                  calc1!$N$6-initialize!$Q$2/(calc1!$E$3+1)*calc3!B56,
            IF(calc3!B56&lt;=calc1!$E$3+calc1!$E$4,
                  calc1!$N$6-initialize!$Q$2/(calc1!$E$4+1)*(calc3!B56-calc1!$E$3)-calc1!$E$2-initialize!$Q$2,
           IF(calc3!B56&lt;=calc1!$H$3,
                  calc1!$N$6-initialize!$Q$2/(calc1!$E$5+1)*(calc3!B56-calc1!$E$3-calc1!$E$4)-(calc1!$E$2+initialize!$Q$2)*2,""))),"")</f>
        <v/>
      </c>
      <c r="H56" s="69" t="str">
        <f>IF(AND(calc3!I56=TRUE,
                         ROUNDUP(calc3!A56/calc1!$N$3,0)&lt;=calc1!$O$3),
      calc1!$O$6-initialize!$Q$3,
      "")</f>
        <v/>
      </c>
      <c r="I56" s="23" t="str">
        <f>IF(AND(calc3!A56&gt;0,
                         calc3!A56&lt;=calc1!$H$2),
      IF(MOD(calc3!A56-1,modify!$B$6)=0,
            TRUE,
            FALSE),
      "")</f>
        <v/>
      </c>
      <c r="J56" s="69" t="str">
        <f>IF(I56=TRUE,
      IF(MOD(calc3!B56,modify!$K$2)=0,
            TRUE,
            FALSE),
      "")</f>
        <v/>
      </c>
      <c r="K56" s="20" t="str">
        <f>IF(I56=TRUE,
   "G0"&amp;
      " Z"&amp;calc1!$U$3&amp;
      " F"&amp; initialize!$W$3&amp;
      CHAR(10)&amp;
    "G0"&amp;
      " X"&amp;E56&amp;
      " Y"&amp;F56&amp;
      " F"&amp; initialize!$W$2&amp;
       REPT(CHAR(9),4)&amp;
       "; move to sample No. "&amp;A56&amp;
      CHAR(10)&amp;
   "G0"&amp;
      " Z"&amp;calc1!$T$3&amp;
      " F"&amp;initialize!$W$3,
 "")</f>
        <v/>
      </c>
      <c r="L56" s="71" t="str">
        <f>IF(calc3!I56=TRUE,
   "G0 "&amp;
      "Z"&amp;calc1!$U$3 &amp;
      " F"&amp;initialize!$W$3&amp;
      CHAR(10)&amp;
   "G0"&amp;
      " X"&amp;calc3!G56&amp;
      " Y"&amp;H56&amp;
      " F"&amp;initialize!$W$2&amp;
       REPT(CHAR(9),4)&amp;
       "; move to spot No."&amp;B56&amp;
      CHAR(10)&amp;
   "G0"&amp;
      " Z"&amp;calc1!$P$6+initialize!$Q$4&amp;
      " F"&amp;initialize!$W$3&amp;
       REPT(CHAR(9),5)&amp;
       "; decrease z-velocity for contact with TLC"&amp;
      CHAR(10)&amp;
   "G0"&amp;
      " Z"&amp;calc1!$P$6&amp;
      " F"&amp;initialize!$W$4,
  "")</f>
        <v/>
      </c>
      <c r="M56" s="20" t="str">
        <f>IF(AND(calc3!J56=TRUE,I57&lt;&gt;"", modify!$K$3&gt;0),
        "; cleaning process"&amp;
         CHAR(10)&amp;
         calc2!$C$8 &amp;
          REPT(
               CHAR(10)&amp;
               calc2!$C$8, modify!$K$3-1),
      "")</f>
        <v/>
      </c>
      <c r="N56" s="71" t="str">
        <f>IF(calc3!I56=TRUE,
      CHAR(10)&amp;
      "; Spot No."&amp;B56&amp;
      CHAR(10)&amp;
             IF(K56="", "", K56)&amp;                        REPLACE(N("rack"),1,1,"")&amp;CHAR(10)&amp;
             IF(calc2!$A$5="","",calc2!$A$5)&amp;        REPLACE(N("retraction"),1,1,"")&amp;CHAR(10)&amp;
             IF(L56="", "", L56)&amp;                           REPLACE(N("TLC"),1,1,"")&amp;CHAR(10)&amp;
             IF(calc2!$B$5="","",calc2!$B$5)&amp;         REPLACE(N("extrusion"),1,1,"")&amp;CHAR(10)&amp;
             IF(calc2!$C$5="","",calc2!$C$5)&amp;         REPLACE(N("waste"),1,1,"")&amp;CHAR(10)&amp;
             IF(M56="", "", M56)&amp;                          REPLACE(N("cleaning process"),1,1,""),
      "")</f>
        <v/>
      </c>
    </row>
    <row r="57" spans="1:14" ht="14.65" customHeight="1">
      <c r="A57" s="19">
        <v>56</v>
      </c>
      <c r="B57" s="69" t="str">
        <f>IF(calc3!I57=TRUE,
      COUNTIF(calc3!$I$2:I57,TRUE),
      "")</f>
        <v/>
      </c>
      <c r="C57" s="44" t="str">
        <f>IF(calc3!I57=TRUE,ROUNDUP(calc3!A57/calc1!$N$3,0),"")</f>
        <v/>
      </c>
      <c r="D57" s="69" t="str">
        <f>IF(calc3!I57=TRUE,MOD((calc3!A57-1),calc1!$N$3),"")</f>
        <v/>
      </c>
      <c r="E57" s="23" t="str">
        <f>IF(AND(calc3!I57=TRUE,
                         C57&lt;=calc1!$O$3),
      INT((calc3!A57-1)/calc1!$N$3)*calc1!$H$5+calc1!$P$3,
      "")</f>
        <v/>
      </c>
      <c r="F57" s="69" t="str">
        <f>IF(AND(calc3!I57=TRUE,
                        C57&lt;=calc1!$O$3),
      IF(
            calc1!$N$3=1,
                  calc1!$Q$3,
            IF(modify!$B$3="s-shape, starting at back left corner",
                  IF(ISODD(C57),
                             calc1!Q$3+D57*calc1!$H$4,
                              calc1!$S$3-D57*calc1!$H$4),
           IF(modify!$B$3="s-shape, starting at front left corner",
                  IF(ISEVEN(C57),
                              calc1!$Q$3+D57*calc1!$H$4,
                              calc1!$S$3-D57*calc1!$H$4),
            IF(modify!$B$3="non alternating, starting at back left corner",
                  calc1!$Q$3+D57*calc1!$H$4,
            IF(modify!$B$3="non alternating, starting at front left corner",
                  calc1!$S$3-D57*calc1!$H$4,
      ""))))),"")</f>
        <v/>
      </c>
      <c r="G57" s="23" t="str">
        <f>IF(calc3!I57=TRUE,
      IF(
            calc3!B57&lt;=calc1!$E$3,
                  calc1!$N$6-initialize!$Q$2/(calc1!$E$3+1)*calc3!B57,
            IF(calc3!B57&lt;=calc1!$E$3+calc1!$E$4,
                  calc1!$N$6-initialize!$Q$2/(calc1!$E$4+1)*(calc3!B57-calc1!$E$3)-calc1!$E$2-initialize!$Q$2,
           IF(calc3!B57&lt;=calc1!$H$3,
                  calc1!$N$6-initialize!$Q$2/(calc1!$E$5+1)*(calc3!B57-calc1!$E$3-calc1!$E$4)-(calc1!$E$2+initialize!$Q$2)*2,""))),"")</f>
        <v/>
      </c>
      <c r="H57" s="69" t="str">
        <f>IF(AND(calc3!I57=TRUE,
                         ROUNDUP(calc3!A57/calc1!$N$3,0)&lt;=calc1!$O$3),
      calc1!$O$6-initialize!$Q$3,
      "")</f>
        <v/>
      </c>
      <c r="I57" s="23" t="str">
        <f>IF(AND(calc3!A57&gt;0,
                         calc3!A57&lt;=calc1!$H$2),
      IF(MOD(calc3!A57-1,modify!$B$6)=0,
            TRUE,
            FALSE),
      "")</f>
        <v/>
      </c>
      <c r="J57" s="69" t="str">
        <f>IF(I57=TRUE,
      IF(MOD(calc3!B57,modify!$K$2)=0,
            TRUE,
            FALSE),
      "")</f>
        <v/>
      </c>
      <c r="K57" s="20" t="str">
        <f>IF(I57=TRUE,
   "G0"&amp;
      " Z"&amp;calc1!$U$3&amp;
      " F"&amp; initialize!$W$3&amp;
      CHAR(10)&amp;
    "G0"&amp;
      " X"&amp;E57&amp;
      " Y"&amp;F57&amp;
      " F"&amp; initialize!$W$2&amp;
       REPT(CHAR(9),4)&amp;
       "; move to sample No. "&amp;A57&amp;
      CHAR(10)&amp;
   "G0"&amp;
      " Z"&amp;calc1!$T$3&amp;
      " F"&amp;initialize!$W$3,
 "")</f>
        <v/>
      </c>
      <c r="L57" s="71" t="str">
        <f>IF(calc3!I57=TRUE,
   "G0 "&amp;
      "Z"&amp;calc1!$U$3 &amp;
      " F"&amp;initialize!$W$3&amp;
      CHAR(10)&amp;
   "G0"&amp;
      " X"&amp;calc3!G57&amp;
      " Y"&amp;H57&amp;
      " F"&amp;initialize!$W$2&amp;
       REPT(CHAR(9),4)&amp;
       "; move to spot No."&amp;B57&amp;
      CHAR(10)&amp;
   "G0"&amp;
      " Z"&amp;calc1!$P$6+initialize!$Q$4&amp;
      " F"&amp;initialize!$W$3&amp;
       REPT(CHAR(9),5)&amp;
       "; decrease z-velocity for contact with TLC"&amp;
      CHAR(10)&amp;
   "G0"&amp;
      " Z"&amp;calc1!$P$6&amp;
      " F"&amp;initialize!$W$4,
  "")</f>
        <v/>
      </c>
      <c r="M57" s="20" t="str">
        <f>IF(AND(calc3!J57=TRUE,I58&lt;&gt;"", modify!$K$3&gt;0),
        "; cleaning process"&amp;
         CHAR(10)&amp;
         calc2!$C$8 &amp;
          REPT(
               CHAR(10)&amp;
               calc2!$C$8, modify!$K$3-1),
      "")</f>
        <v/>
      </c>
      <c r="N57" s="71" t="str">
        <f>IF(calc3!I57=TRUE,
      CHAR(10)&amp;
      "; Spot No."&amp;B57&amp;
      CHAR(10)&amp;
             IF(K57="", "", K57)&amp;                        REPLACE(N("rack"),1,1,"")&amp;CHAR(10)&amp;
             IF(calc2!$A$5="","",calc2!$A$5)&amp;        REPLACE(N("retraction"),1,1,"")&amp;CHAR(10)&amp;
             IF(L57="", "", L57)&amp;                           REPLACE(N("TLC"),1,1,"")&amp;CHAR(10)&amp;
             IF(calc2!$B$5="","",calc2!$B$5)&amp;         REPLACE(N("extrusion"),1,1,"")&amp;CHAR(10)&amp;
             IF(calc2!$C$5="","",calc2!$C$5)&amp;         REPLACE(N("waste"),1,1,"")&amp;CHAR(10)&amp;
             IF(M57="", "", M57)&amp;                          REPLACE(N("cleaning process"),1,1,""),
      "")</f>
        <v/>
      </c>
    </row>
    <row r="58" spans="1:14" ht="14.65" customHeight="1">
      <c r="A58" s="19">
        <v>57</v>
      </c>
      <c r="B58" s="69" t="str">
        <f>IF(calc3!I58=TRUE,
      COUNTIF(calc3!$I$2:I58,TRUE),
      "")</f>
        <v/>
      </c>
      <c r="C58" s="44" t="str">
        <f>IF(calc3!I58=TRUE,ROUNDUP(calc3!A58/calc1!$N$3,0),"")</f>
        <v/>
      </c>
      <c r="D58" s="69" t="str">
        <f>IF(calc3!I58=TRUE,MOD((calc3!A58-1),calc1!$N$3),"")</f>
        <v/>
      </c>
      <c r="E58" s="23" t="str">
        <f>IF(AND(calc3!I58=TRUE,
                         C58&lt;=calc1!$O$3),
      INT((calc3!A58-1)/calc1!$N$3)*calc1!$H$5+calc1!$P$3,
      "")</f>
        <v/>
      </c>
      <c r="F58" s="69" t="str">
        <f>IF(AND(calc3!I58=TRUE,
                        C58&lt;=calc1!$O$3),
      IF(
            calc1!$N$3=1,
                  calc1!$Q$3,
            IF(modify!$B$3="s-shape, starting at back left corner",
                  IF(ISODD(C58),
                             calc1!Q$3+D58*calc1!$H$4,
                              calc1!$S$3-D58*calc1!$H$4),
           IF(modify!$B$3="s-shape, starting at front left corner",
                  IF(ISEVEN(C58),
                              calc1!$Q$3+D58*calc1!$H$4,
                              calc1!$S$3-D58*calc1!$H$4),
            IF(modify!$B$3="non alternating, starting at back left corner",
                  calc1!$Q$3+D58*calc1!$H$4,
            IF(modify!$B$3="non alternating, starting at front left corner",
                  calc1!$S$3-D58*calc1!$H$4,
      ""))))),"")</f>
        <v/>
      </c>
      <c r="G58" s="23" t="str">
        <f>IF(calc3!I58=TRUE,
      IF(
            calc3!B58&lt;=calc1!$E$3,
                  calc1!$N$6-initialize!$Q$2/(calc1!$E$3+1)*calc3!B58,
            IF(calc3!B58&lt;=calc1!$E$3+calc1!$E$4,
                  calc1!$N$6-initialize!$Q$2/(calc1!$E$4+1)*(calc3!B58-calc1!$E$3)-calc1!$E$2-initialize!$Q$2,
           IF(calc3!B58&lt;=calc1!$H$3,
                  calc1!$N$6-initialize!$Q$2/(calc1!$E$5+1)*(calc3!B58-calc1!$E$3-calc1!$E$4)-(calc1!$E$2+initialize!$Q$2)*2,""))),"")</f>
        <v/>
      </c>
      <c r="H58" s="69" t="str">
        <f>IF(AND(calc3!I58=TRUE,
                         ROUNDUP(calc3!A58/calc1!$N$3,0)&lt;=calc1!$O$3),
      calc1!$O$6-initialize!$Q$3,
      "")</f>
        <v/>
      </c>
      <c r="I58" s="23" t="str">
        <f>IF(AND(calc3!A58&gt;0,
                         calc3!A58&lt;=calc1!$H$2),
      IF(MOD(calc3!A58-1,modify!$B$6)=0,
            TRUE,
            FALSE),
      "")</f>
        <v/>
      </c>
      <c r="J58" s="69" t="str">
        <f>IF(I58=TRUE,
      IF(MOD(calc3!B58,modify!$K$2)=0,
            TRUE,
            FALSE),
      "")</f>
        <v/>
      </c>
      <c r="K58" s="20" t="str">
        <f>IF(I58=TRUE,
   "G0"&amp;
      " Z"&amp;calc1!$U$3&amp;
      " F"&amp; initialize!$W$3&amp;
      CHAR(10)&amp;
    "G0"&amp;
      " X"&amp;E58&amp;
      " Y"&amp;F58&amp;
      " F"&amp; initialize!$W$2&amp;
       REPT(CHAR(9),4)&amp;
       "; move to sample No. "&amp;A58&amp;
      CHAR(10)&amp;
   "G0"&amp;
      " Z"&amp;calc1!$T$3&amp;
      " F"&amp;initialize!$W$3,
 "")</f>
        <v/>
      </c>
      <c r="L58" s="71" t="str">
        <f>IF(calc3!I58=TRUE,
   "G0 "&amp;
      "Z"&amp;calc1!$U$3 &amp;
      " F"&amp;initialize!$W$3&amp;
      CHAR(10)&amp;
   "G0"&amp;
      " X"&amp;calc3!G58&amp;
      " Y"&amp;H58&amp;
      " F"&amp;initialize!$W$2&amp;
       REPT(CHAR(9),4)&amp;
       "; move to spot No."&amp;B58&amp;
      CHAR(10)&amp;
   "G0"&amp;
      " Z"&amp;calc1!$P$6+initialize!$Q$4&amp;
      " F"&amp;initialize!$W$3&amp;
       REPT(CHAR(9),5)&amp;
       "; decrease z-velocity for contact with TLC"&amp;
      CHAR(10)&amp;
   "G0"&amp;
      " Z"&amp;calc1!$P$6&amp;
      " F"&amp;initialize!$W$4,
  "")</f>
        <v/>
      </c>
      <c r="M58" s="20" t="str">
        <f>IF(AND(calc3!J58=TRUE,I59&lt;&gt;"", modify!$K$3&gt;0),
        "; cleaning process"&amp;
         CHAR(10)&amp;
         calc2!$C$8 &amp;
          REPT(
               CHAR(10)&amp;
               calc2!$C$8, modify!$K$3-1),
      "")</f>
        <v/>
      </c>
      <c r="N58" s="71" t="str">
        <f>IF(calc3!I58=TRUE,
      CHAR(10)&amp;
      "; Spot No."&amp;B58&amp;
      CHAR(10)&amp;
             IF(K58="", "", K58)&amp;                        REPLACE(N("rack"),1,1,"")&amp;CHAR(10)&amp;
             IF(calc2!$A$5="","",calc2!$A$5)&amp;        REPLACE(N("retraction"),1,1,"")&amp;CHAR(10)&amp;
             IF(L58="", "", L58)&amp;                           REPLACE(N("TLC"),1,1,"")&amp;CHAR(10)&amp;
             IF(calc2!$B$5="","",calc2!$B$5)&amp;         REPLACE(N("extrusion"),1,1,"")&amp;CHAR(10)&amp;
             IF(calc2!$C$5="","",calc2!$C$5)&amp;         REPLACE(N("waste"),1,1,"")&amp;CHAR(10)&amp;
             IF(M58="", "", M58)&amp;                          REPLACE(N("cleaning process"),1,1,""),
      "")</f>
        <v/>
      </c>
    </row>
    <row r="59" spans="1:14" ht="14.65" customHeight="1">
      <c r="A59" s="19">
        <v>58</v>
      </c>
      <c r="B59" s="69" t="str">
        <f>IF(calc3!I59=TRUE,
      COUNTIF(calc3!$I$2:I59,TRUE),
      "")</f>
        <v/>
      </c>
      <c r="C59" s="44" t="str">
        <f>IF(calc3!I59=TRUE,ROUNDUP(calc3!A59/calc1!$N$3,0),"")</f>
        <v/>
      </c>
      <c r="D59" s="69" t="str">
        <f>IF(calc3!I59=TRUE,MOD((calc3!A59-1),calc1!$N$3),"")</f>
        <v/>
      </c>
      <c r="E59" s="23" t="str">
        <f>IF(AND(calc3!I59=TRUE,
                         C59&lt;=calc1!$O$3),
      INT((calc3!A59-1)/calc1!$N$3)*calc1!$H$5+calc1!$P$3,
      "")</f>
        <v/>
      </c>
      <c r="F59" s="69" t="str">
        <f>IF(AND(calc3!I59=TRUE,
                        C59&lt;=calc1!$O$3),
      IF(
            calc1!$N$3=1,
                  calc1!$Q$3,
            IF(modify!$B$3="s-shape, starting at back left corner",
                  IF(ISODD(C59),
                             calc1!Q$3+D59*calc1!$H$4,
                              calc1!$S$3-D59*calc1!$H$4),
           IF(modify!$B$3="s-shape, starting at front left corner",
                  IF(ISEVEN(C59),
                              calc1!$Q$3+D59*calc1!$H$4,
                              calc1!$S$3-D59*calc1!$H$4),
            IF(modify!$B$3="non alternating, starting at back left corner",
                  calc1!$Q$3+D59*calc1!$H$4,
            IF(modify!$B$3="non alternating, starting at front left corner",
                  calc1!$S$3-D59*calc1!$H$4,
      ""))))),"")</f>
        <v/>
      </c>
      <c r="G59" s="23" t="str">
        <f>IF(calc3!I59=TRUE,
      IF(
            calc3!B59&lt;=calc1!$E$3,
                  calc1!$N$6-initialize!$Q$2/(calc1!$E$3+1)*calc3!B59,
            IF(calc3!B59&lt;=calc1!$E$3+calc1!$E$4,
                  calc1!$N$6-initialize!$Q$2/(calc1!$E$4+1)*(calc3!B59-calc1!$E$3)-calc1!$E$2-initialize!$Q$2,
           IF(calc3!B59&lt;=calc1!$H$3,
                  calc1!$N$6-initialize!$Q$2/(calc1!$E$5+1)*(calc3!B59-calc1!$E$3-calc1!$E$4)-(calc1!$E$2+initialize!$Q$2)*2,""))),"")</f>
        <v/>
      </c>
      <c r="H59" s="69" t="str">
        <f>IF(AND(calc3!I59=TRUE,
                         ROUNDUP(calc3!A59/calc1!$N$3,0)&lt;=calc1!$O$3),
      calc1!$O$6-initialize!$Q$3,
      "")</f>
        <v/>
      </c>
      <c r="I59" s="23" t="str">
        <f>IF(AND(calc3!A59&gt;0,
                         calc3!A59&lt;=calc1!$H$2),
      IF(MOD(calc3!A59-1,modify!$B$6)=0,
            TRUE,
            FALSE),
      "")</f>
        <v/>
      </c>
      <c r="J59" s="69" t="str">
        <f>IF(I59=TRUE,
      IF(MOD(calc3!B59,modify!$K$2)=0,
            TRUE,
            FALSE),
      "")</f>
        <v/>
      </c>
      <c r="K59" s="20" t="str">
        <f>IF(I59=TRUE,
   "G0"&amp;
      " Z"&amp;calc1!$U$3&amp;
      " F"&amp; initialize!$W$3&amp;
      CHAR(10)&amp;
    "G0"&amp;
      " X"&amp;E59&amp;
      " Y"&amp;F59&amp;
      " F"&amp; initialize!$W$2&amp;
       REPT(CHAR(9),4)&amp;
       "; move to sample No. "&amp;A59&amp;
      CHAR(10)&amp;
   "G0"&amp;
      " Z"&amp;calc1!$T$3&amp;
      " F"&amp;initialize!$W$3,
 "")</f>
        <v/>
      </c>
      <c r="L59" s="71" t="str">
        <f>IF(calc3!I59=TRUE,
   "G0 "&amp;
      "Z"&amp;calc1!$U$3 &amp;
      " F"&amp;initialize!$W$3&amp;
      CHAR(10)&amp;
   "G0"&amp;
      " X"&amp;calc3!G59&amp;
      " Y"&amp;H59&amp;
      " F"&amp;initialize!$W$2&amp;
       REPT(CHAR(9),4)&amp;
       "; move to spot No."&amp;B59&amp;
      CHAR(10)&amp;
   "G0"&amp;
      " Z"&amp;calc1!$P$6+initialize!$Q$4&amp;
      " F"&amp;initialize!$W$3&amp;
       REPT(CHAR(9),5)&amp;
       "; decrease z-velocity for contact with TLC"&amp;
      CHAR(10)&amp;
   "G0"&amp;
      " Z"&amp;calc1!$P$6&amp;
      " F"&amp;initialize!$W$4,
  "")</f>
        <v/>
      </c>
      <c r="M59" s="20" t="str">
        <f>IF(AND(calc3!J59=TRUE,I60&lt;&gt;"", modify!$K$3&gt;0),
        "; cleaning process"&amp;
         CHAR(10)&amp;
         calc2!$C$8 &amp;
          REPT(
               CHAR(10)&amp;
               calc2!$C$8, modify!$K$3-1),
      "")</f>
        <v/>
      </c>
      <c r="N59" s="71" t="str">
        <f>IF(calc3!I59=TRUE,
      CHAR(10)&amp;
      "; Spot No."&amp;B59&amp;
      CHAR(10)&amp;
             IF(K59="", "", K59)&amp;                        REPLACE(N("rack"),1,1,"")&amp;CHAR(10)&amp;
             IF(calc2!$A$5="","",calc2!$A$5)&amp;        REPLACE(N("retraction"),1,1,"")&amp;CHAR(10)&amp;
             IF(L59="", "", L59)&amp;                           REPLACE(N("TLC"),1,1,"")&amp;CHAR(10)&amp;
             IF(calc2!$B$5="","",calc2!$B$5)&amp;         REPLACE(N("extrusion"),1,1,"")&amp;CHAR(10)&amp;
             IF(calc2!$C$5="","",calc2!$C$5)&amp;         REPLACE(N("waste"),1,1,"")&amp;CHAR(10)&amp;
             IF(M59="", "", M59)&amp;                          REPLACE(N("cleaning process"),1,1,""),
      "")</f>
        <v/>
      </c>
    </row>
    <row r="60" spans="1:14" ht="14.65" customHeight="1">
      <c r="A60" s="19">
        <v>59</v>
      </c>
      <c r="B60" s="69" t="str">
        <f>IF(calc3!I60=TRUE,
      COUNTIF(calc3!$I$2:I60,TRUE),
      "")</f>
        <v/>
      </c>
      <c r="C60" s="44" t="str">
        <f>IF(calc3!I60=TRUE,ROUNDUP(calc3!A60/calc1!$N$3,0),"")</f>
        <v/>
      </c>
      <c r="D60" s="69" t="str">
        <f>IF(calc3!I60=TRUE,MOD((calc3!A60-1),calc1!$N$3),"")</f>
        <v/>
      </c>
      <c r="E60" s="23" t="str">
        <f>IF(AND(calc3!I60=TRUE,
                         C60&lt;=calc1!$O$3),
      INT((calc3!A60-1)/calc1!$N$3)*calc1!$H$5+calc1!$P$3,
      "")</f>
        <v/>
      </c>
      <c r="F60" s="69" t="str">
        <f>IF(AND(calc3!I60=TRUE,
                        C60&lt;=calc1!$O$3),
      IF(
            calc1!$N$3=1,
                  calc1!$Q$3,
            IF(modify!$B$3="s-shape, starting at back left corner",
                  IF(ISODD(C60),
                             calc1!Q$3+D60*calc1!$H$4,
                              calc1!$S$3-D60*calc1!$H$4),
           IF(modify!$B$3="s-shape, starting at front left corner",
                  IF(ISEVEN(C60),
                              calc1!$Q$3+D60*calc1!$H$4,
                              calc1!$S$3-D60*calc1!$H$4),
            IF(modify!$B$3="non alternating, starting at back left corner",
                  calc1!$Q$3+D60*calc1!$H$4,
            IF(modify!$B$3="non alternating, starting at front left corner",
                  calc1!$S$3-D60*calc1!$H$4,
      ""))))),"")</f>
        <v/>
      </c>
      <c r="G60" s="23" t="str">
        <f>IF(calc3!I60=TRUE,
      IF(
            calc3!B60&lt;=calc1!$E$3,
                  calc1!$N$6-initialize!$Q$2/(calc1!$E$3+1)*calc3!B60,
            IF(calc3!B60&lt;=calc1!$E$3+calc1!$E$4,
                  calc1!$N$6-initialize!$Q$2/(calc1!$E$4+1)*(calc3!B60-calc1!$E$3)-calc1!$E$2-initialize!$Q$2,
           IF(calc3!B60&lt;=calc1!$H$3,
                  calc1!$N$6-initialize!$Q$2/(calc1!$E$5+1)*(calc3!B60-calc1!$E$3-calc1!$E$4)-(calc1!$E$2+initialize!$Q$2)*2,""))),"")</f>
        <v/>
      </c>
      <c r="H60" s="69" t="str">
        <f>IF(AND(calc3!I60=TRUE,
                         ROUNDUP(calc3!A60/calc1!$N$3,0)&lt;=calc1!$O$3),
      calc1!$O$6-initialize!$Q$3,
      "")</f>
        <v/>
      </c>
      <c r="I60" s="23" t="str">
        <f>IF(AND(calc3!A60&gt;0,
                         calc3!A60&lt;=calc1!$H$2),
      IF(MOD(calc3!A60-1,modify!$B$6)=0,
            TRUE,
            FALSE),
      "")</f>
        <v/>
      </c>
      <c r="J60" s="69" t="str">
        <f>IF(I60=TRUE,
      IF(MOD(calc3!B60,modify!$K$2)=0,
            TRUE,
            FALSE),
      "")</f>
        <v/>
      </c>
      <c r="K60" s="20" t="str">
        <f>IF(I60=TRUE,
   "G0"&amp;
      " Z"&amp;calc1!$U$3&amp;
      " F"&amp; initialize!$W$3&amp;
      CHAR(10)&amp;
    "G0"&amp;
      " X"&amp;E60&amp;
      " Y"&amp;F60&amp;
      " F"&amp; initialize!$W$2&amp;
       REPT(CHAR(9),4)&amp;
       "; move to sample No. "&amp;A60&amp;
      CHAR(10)&amp;
   "G0"&amp;
      " Z"&amp;calc1!$T$3&amp;
      " F"&amp;initialize!$W$3,
 "")</f>
        <v/>
      </c>
      <c r="L60" s="71" t="str">
        <f>IF(calc3!I60=TRUE,
   "G0 "&amp;
      "Z"&amp;calc1!$U$3 &amp;
      " F"&amp;initialize!$W$3&amp;
      CHAR(10)&amp;
   "G0"&amp;
      " X"&amp;calc3!G60&amp;
      " Y"&amp;H60&amp;
      " F"&amp;initialize!$W$2&amp;
       REPT(CHAR(9),4)&amp;
       "; move to spot No."&amp;B60&amp;
      CHAR(10)&amp;
   "G0"&amp;
      " Z"&amp;calc1!$P$6+initialize!$Q$4&amp;
      " F"&amp;initialize!$W$3&amp;
       REPT(CHAR(9),5)&amp;
       "; decrease z-velocity for contact with TLC"&amp;
      CHAR(10)&amp;
   "G0"&amp;
      " Z"&amp;calc1!$P$6&amp;
      " F"&amp;initialize!$W$4,
  "")</f>
        <v/>
      </c>
      <c r="M60" s="20" t="str">
        <f>IF(AND(calc3!J60=TRUE,I61&lt;&gt;"", modify!$K$3&gt;0),
        "; cleaning process"&amp;
         CHAR(10)&amp;
         calc2!$C$8 &amp;
          REPT(
               CHAR(10)&amp;
               calc2!$C$8, modify!$K$3-1),
      "")</f>
        <v/>
      </c>
      <c r="N60" s="71" t="str">
        <f>IF(calc3!I60=TRUE,
      CHAR(10)&amp;
      "; Spot No."&amp;B60&amp;
      CHAR(10)&amp;
             IF(K60="", "", K60)&amp;                        REPLACE(N("rack"),1,1,"")&amp;CHAR(10)&amp;
             IF(calc2!$A$5="","",calc2!$A$5)&amp;        REPLACE(N("retraction"),1,1,"")&amp;CHAR(10)&amp;
             IF(L60="", "", L60)&amp;                           REPLACE(N("TLC"),1,1,"")&amp;CHAR(10)&amp;
             IF(calc2!$B$5="","",calc2!$B$5)&amp;         REPLACE(N("extrusion"),1,1,"")&amp;CHAR(10)&amp;
             IF(calc2!$C$5="","",calc2!$C$5)&amp;         REPLACE(N("waste"),1,1,"")&amp;CHAR(10)&amp;
             IF(M60="", "", M60)&amp;                          REPLACE(N("cleaning process"),1,1,""),
      "")</f>
        <v/>
      </c>
    </row>
    <row r="61" spans="1:14" ht="14.65" customHeight="1">
      <c r="A61" s="19">
        <v>60</v>
      </c>
      <c r="B61" s="69" t="str">
        <f>IF(calc3!I61=TRUE,
      COUNTIF(calc3!$I$2:I61,TRUE),
      "")</f>
        <v/>
      </c>
      <c r="C61" s="44" t="str">
        <f>IF(calc3!I61=TRUE,ROUNDUP(calc3!A61/calc1!$N$3,0),"")</f>
        <v/>
      </c>
      <c r="D61" s="69" t="str">
        <f>IF(calc3!I61=TRUE,MOD((calc3!A61-1),calc1!$N$3),"")</f>
        <v/>
      </c>
      <c r="E61" s="23" t="str">
        <f>IF(AND(calc3!I61=TRUE,
                         C61&lt;=calc1!$O$3),
      INT((calc3!A61-1)/calc1!$N$3)*calc1!$H$5+calc1!$P$3,
      "")</f>
        <v/>
      </c>
      <c r="F61" s="69" t="str">
        <f>IF(AND(calc3!I61=TRUE,
                        C61&lt;=calc1!$O$3),
      IF(
            calc1!$N$3=1,
                  calc1!$Q$3,
            IF(modify!$B$3="s-shape, starting at back left corner",
                  IF(ISODD(C61),
                             calc1!Q$3+D61*calc1!$H$4,
                              calc1!$S$3-D61*calc1!$H$4),
           IF(modify!$B$3="s-shape, starting at front left corner",
                  IF(ISEVEN(C61),
                              calc1!$Q$3+D61*calc1!$H$4,
                              calc1!$S$3-D61*calc1!$H$4),
            IF(modify!$B$3="non alternating, starting at back left corner",
                  calc1!$Q$3+D61*calc1!$H$4,
            IF(modify!$B$3="non alternating, starting at front left corner",
                  calc1!$S$3-D61*calc1!$H$4,
      ""))))),"")</f>
        <v/>
      </c>
      <c r="G61" s="23" t="str">
        <f>IF(calc3!I61=TRUE,
      IF(
            calc3!B61&lt;=calc1!$E$3,
                  calc1!$N$6-initialize!$Q$2/(calc1!$E$3+1)*calc3!B61,
            IF(calc3!B61&lt;=calc1!$E$3+calc1!$E$4,
                  calc1!$N$6-initialize!$Q$2/(calc1!$E$4+1)*(calc3!B61-calc1!$E$3)-calc1!$E$2-initialize!$Q$2,
           IF(calc3!B61&lt;=calc1!$H$3,
                  calc1!$N$6-initialize!$Q$2/(calc1!$E$5+1)*(calc3!B61-calc1!$E$3-calc1!$E$4)-(calc1!$E$2+initialize!$Q$2)*2,""))),"")</f>
        <v/>
      </c>
      <c r="H61" s="69" t="str">
        <f>IF(AND(calc3!I61=TRUE,
                         ROUNDUP(calc3!A61/calc1!$N$3,0)&lt;=calc1!$O$3),
      calc1!$O$6-initialize!$Q$3,
      "")</f>
        <v/>
      </c>
      <c r="I61" s="23" t="str">
        <f>IF(AND(calc3!A61&gt;0,
                         calc3!A61&lt;=calc1!$H$2),
      IF(MOD(calc3!A61-1,modify!$B$6)=0,
            TRUE,
            FALSE),
      "")</f>
        <v/>
      </c>
      <c r="J61" s="69" t="str">
        <f>IF(I61=TRUE,
      IF(MOD(calc3!B61,modify!$K$2)=0,
            TRUE,
            FALSE),
      "")</f>
        <v/>
      </c>
      <c r="K61" s="20" t="str">
        <f>IF(I61=TRUE,
   "G0"&amp;
      " Z"&amp;calc1!$U$3&amp;
      " F"&amp; initialize!$W$3&amp;
      CHAR(10)&amp;
    "G0"&amp;
      " X"&amp;E61&amp;
      " Y"&amp;F61&amp;
      " F"&amp; initialize!$W$2&amp;
       REPT(CHAR(9),4)&amp;
       "; move to sample No. "&amp;A61&amp;
      CHAR(10)&amp;
   "G0"&amp;
      " Z"&amp;calc1!$T$3&amp;
      " F"&amp;initialize!$W$3,
 "")</f>
        <v/>
      </c>
      <c r="L61" s="71" t="str">
        <f>IF(calc3!I61=TRUE,
   "G0 "&amp;
      "Z"&amp;calc1!$U$3 &amp;
      " F"&amp;initialize!$W$3&amp;
      CHAR(10)&amp;
   "G0"&amp;
      " X"&amp;calc3!G61&amp;
      " Y"&amp;H61&amp;
      " F"&amp;initialize!$W$2&amp;
       REPT(CHAR(9),4)&amp;
       "; move to spot No."&amp;B61&amp;
      CHAR(10)&amp;
   "G0"&amp;
      " Z"&amp;calc1!$P$6+initialize!$Q$4&amp;
      " F"&amp;initialize!$W$3&amp;
       REPT(CHAR(9),5)&amp;
       "; decrease z-velocity for contact with TLC"&amp;
      CHAR(10)&amp;
   "G0"&amp;
      " Z"&amp;calc1!$P$6&amp;
      " F"&amp;initialize!$W$4,
  "")</f>
        <v/>
      </c>
      <c r="M61" s="20" t="str">
        <f>IF(AND(calc3!J61=TRUE,I62&lt;&gt;"", modify!$K$3&gt;0),
        "; cleaning process"&amp;
         CHAR(10)&amp;
         calc2!$C$8 &amp;
          REPT(
               CHAR(10)&amp;
               calc2!$C$8, modify!$K$3-1),
      "")</f>
        <v/>
      </c>
      <c r="N61" s="71" t="str">
        <f>IF(calc3!I61=TRUE,
      CHAR(10)&amp;
      "; Spot No."&amp;B61&amp;
      CHAR(10)&amp;
             IF(K61="", "", K61)&amp;                        REPLACE(N("rack"),1,1,"")&amp;CHAR(10)&amp;
             IF(calc2!$A$5="","",calc2!$A$5)&amp;        REPLACE(N("retraction"),1,1,"")&amp;CHAR(10)&amp;
             IF(L61="", "", L61)&amp;                           REPLACE(N("TLC"),1,1,"")&amp;CHAR(10)&amp;
             IF(calc2!$B$5="","",calc2!$B$5)&amp;         REPLACE(N("extrusion"),1,1,"")&amp;CHAR(10)&amp;
             IF(calc2!$C$5="","",calc2!$C$5)&amp;         REPLACE(N("waste"),1,1,"")&amp;CHAR(10)&amp;
             IF(M61="", "", M61)&amp;                          REPLACE(N("cleaning process"),1,1,""),
      "")</f>
        <v/>
      </c>
    </row>
    <row r="62" spans="1:14" ht="14.65" customHeight="1">
      <c r="A62" s="19">
        <v>61</v>
      </c>
      <c r="B62" s="69" t="str">
        <f>IF(calc3!I62=TRUE,
      COUNTIF(calc3!$I$2:I62,TRUE),
      "")</f>
        <v/>
      </c>
      <c r="C62" s="44" t="str">
        <f>IF(calc3!I62=TRUE,ROUNDUP(calc3!A62/calc1!$N$3,0),"")</f>
        <v/>
      </c>
      <c r="D62" s="69" t="str">
        <f>IF(calc3!I62=TRUE,MOD((calc3!A62-1),calc1!$N$3),"")</f>
        <v/>
      </c>
      <c r="E62" s="23" t="str">
        <f>IF(AND(calc3!I62=TRUE,
                         C62&lt;=calc1!$O$3),
      INT((calc3!A62-1)/calc1!$N$3)*calc1!$H$5+calc1!$P$3,
      "")</f>
        <v/>
      </c>
      <c r="F62" s="69" t="str">
        <f>IF(AND(calc3!I62=TRUE,
                        C62&lt;=calc1!$O$3),
      IF(
            calc1!$N$3=1,
                  calc1!$Q$3,
            IF(modify!$B$3="s-shape, starting at back left corner",
                  IF(ISODD(C62),
                             calc1!Q$3+D62*calc1!$H$4,
                              calc1!$S$3-D62*calc1!$H$4),
           IF(modify!$B$3="s-shape, starting at front left corner",
                  IF(ISEVEN(C62),
                              calc1!$Q$3+D62*calc1!$H$4,
                              calc1!$S$3-D62*calc1!$H$4),
            IF(modify!$B$3="non alternating, starting at back left corner",
                  calc1!$Q$3+D62*calc1!$H$4,
            IF(modify!$B$3="non alternating, starting at front left corner",
                  calc1!$S$3-D62*calc1!$H$4,
      ""))))),"")</f>
        <v/>
      </c>
      <c r="G62" s="23" t="str">
        <f>IF(calc3!I62=TRUE,
      IF(
            calc3!B62&lt;=calc1!$E$3,
                  calc1!$N$6-initialize!$Q$2/(calc1!$E$3+1)*calc3!B62,
            IF(calc3!B62&lt;=calc1!$E$3+calc1!$E$4,
                  calc1!$N$6-initialize!$Q$2/(calc1!$E$4+1)*(calc3!B62-calc1!$E$3)-calc1!$E$2-initialize!$Q$2,
           IF(calc3!B62&lt;=calc1!$H$3,
                  calc1!$N$6-initialize!$Q$2/(calc1!$E$5+1)*(calc3!B62-calc1!$E$3-calc1!$E$4)-(calc1!$E$2+initialize!$Q$2)*2,""))),"")</f>
        <v/>
      </c>
      <c r="H62" s="69" t="str">
        <f>IF(AND(calc3!I62=TRUE,
                         ROUNDUP(calc3!A62/calc1!$N$3,0)&lt;=calc1!$O$3),
      calc1!$O$6-initialize!$Q$3,
      "")</f>
        <v/>
      </c>
      <c r="I62" s="23" t="str">
        <f>IF(AND(calc3!A62&gt;0,
                         calc3!A62&lt;=calc1!$H$2),
      IF(MOD(calc3!A62-1,modify!$B$6)=0,
            TRUE,
            FALSE),
      "")</f>
        <v/>
      </c>
      <c r="J62" s="69" t="str">
        <f>IF(I62=TRUE,
      IF(MOD(calc3!B62,modify!$K$2)=0,
            TRUE,
            FALSE),
      "")</f>
        <v/>
      </c>
      <c r="K62" s="20" t="str">
        <f>IF(I62=TRUE,
   "G0"&amp;
      " Z"&amp;calc1!$U$3&amp;
      " F"&amp; initialize!$W$3&amp;
      CHAR(10)&amp;
    "G0"&amp;
      " X"&amp;E62&amp;
      " Y"&amp;F62&amp;
      " F"&amp; initialize!$W$2&amp;
       REPT(CHAR(9),4)&amp;
       "; move to sample No. "&amp;A62&amp;
      CHAR(10)&amp;
   "G0"&amp;
      " Z"&amp;calc1!$T$3&amp;
      " F"&amp;initialize!$W$3,
 "")</f>
        <v/>
      </c>
      <c r="L62" s="71" t="str">
        <f>IF(calc3!I62=TRUE,
   "G0 "&amp;
      "Z"&amp;calc1!$U$3 &amp;
      " F"&amp;initialize!$W$3&amp;
      CHAR(10)&amp;
   "G0"&amp;
      " X"&amp;calc3!G62&amp;
      " Y"&amp;H62&amp;
      " F"&amp;initialize!$W$2&amp;
       REPT(CHAR(9),4)&amp;
       "; move to spot No."&amp;B62&amp;
      CHAR(10)&amp;
   "G0"&amp;
      " Z"&amp;calc1!$P$6+initialize!$Q$4&amp;
      " F"&amp;initialize!$W$3&amp;
       REPT(CHAR(9),5)&amp;
       "; decrease z-velocity for contact with TLC"&amp;
      CHAR(10)&amp;
   "G0"&amp;
      " Z"&amp;calc1!$P$6&amp;
      " F"&amp;initialize!$W$4,
  "")</f>
        <v/>
      </c>
      <c r="M62" s="20" t="str">
        <f>IF(AND(calc3!J62=TRUE,I63&lt;&gt;"", modify!$K$3&gt;0),
        "; cleaning process"&amp;
         CHAR(10)&amp;
         calc2!$C$8 &amp;
          REPT(
               CHAR(10)&amp;
               calc2!$C$8, modify!$K$3-1),
      "")</f>
        <v/>
      </c>
      <c r="N62" s="71" t="str">
        <f>IF(calc3!I62=TRUE,
      CHAR(10)&amp;
      "; Spot No."&amp;B62&amp;
      CHAR(10)&amp;
             IF(K62="", "", K62)&amp;                        REPLACE(N("rack"),1,1,"")&amp;CHAR(10)&amp;
             IF(calc2!$A$5="","",calc2!$A$5)&amp;        REPLACE(N("retraction"),1,1,"")&amp;CHAR(10)&amp;
             IF(L62="", "", L62)&amp;                           REPLACE(N("TLC"),1,1,"")&amp;CHAR(10)&amp;
             IF(calc2!$B$5="","",calc2!$B$5)&amp;         REPLACE(N("extrusion"),1,1,"")&amp;CHAR(10)&amp;
             IF(calc2!$C$5="","",calc2!$C$5)&amp;         REPLACE(N("waste"),1,1,"")&amp;CHAR(10)&amp;
             IF(M62="", "", M62)&amp;                          REPLACE(N("cleaning process"),1,1,""),
      "")</f>
        <v/>
      </c>
    </row>
    <row r="63" spans="1:14" ht="14.65" customHeight="1">
      <c r="A63" s="19">
        <v>62</v>
      </c>
      <c r="B63" s="69" t="str">
        <f>IF(calc3!I63=TRUE,
      COUNTIF(calc3!$I$2:I63,TRUE),
      "")</f>
        <v/>
      </c>
      <c r="C63" s="44" t="str">
        <f>IF(calc3!I63=TRUE,ROUNDUP(calc3!A63/calc1!$N$3,0),"")</f>
        <v/>
      </c>
      <c r="D63" s="69" t="str">
        <f>IF(calc3!I63=TRUE,MOD((calc3!A63-1),calc1!$N$3),"")</f>
        <v/>
      </c>
      <c r="E63" s="23" t="str">
        <f>IF(AND(calc3!I63=TRUE,
                         C63&lt;=calc1!$O$3),
      INT((calc3!A63-1)/calc1!$N$3)*calc1!$H$5+calc1!$P$3,
      "")</f>
        <v/>
      </c>
      <c r="F63" s="69" t="str">
        <f>IF(AND(calc3!I63=TRUE,
                        C63&lt;=calc1!$O$3),
      IF(
            calc1!$N$3=1,
                  calc1!$Q$3,
            IF(modify!$B$3="s-shape, starting at back left corner",
                  IF(ISODD(C63),
                             calc1!Q$3+D63*calc1!$H$4,
                              calc1!$S$3-D63*calc1!$H$4),
           IF(modify!$B$3="s-shape, starting at front left corner",
                  IF(ISEVEN(C63),
                              calc1!$Q$3+D63*calc1!$H$4,
                              calc1!$S$3-D63*calc1!$H$4),
            IF(modify!$B$3="non alternating, starting at back left corner",
                  calc1!$Q$3+D63*calc1!$H$4,
            IF(modify!$B$3="non alternating, starting at front left corner",
                  calc1!$S$3-D63*calc1!$H$4,
      ""))))),"")</f>
        <v/>
      </c>
      <c r="G63" s="23" t="str">
        <f>IF(calc3!I63=TRUE,
      IF(
            calc3!B63&lt;=calc1!$E$3,
                  calc1!$N$6-initialize!$Q$2/(calc1!$E$3+1)*calc3!B63,
            IF(calc3!B63&lt;=calc1!$E$3+calc1!$E$4,
                  calc1!$N$6-initialize!$Q$2/(calc1!$E$4+1)*(calc3!B63-calc1!$E$3)-calc1!$E$2-initialize!$Q$2,
           IF(calc3!B63&lt;=calc1!$H$3,
                  calc1!$N$6-initialize!$Q$2/(calc1!$E$5+1)*(calc3!B63-calc1!$E$3-calc1!$E$4)-(calc1!$E$2+initialize!$Q$2)*2,""))),"")</f>
        <v/>
      </c>
      <c r="H63" s="69" t="str">
        <f>IF(AND(calc3!I63=TRUE,
                         ROUNDUP(calc3!A63/calc1!$N$3,0)&lt;=calc1!$O$3),
      calc1!$O$6-initialize!$Q$3,
      "")</f>
        <v/>
      </c>
      <c r="I63" s="23" t="str">
        <f>IF(AND(calc3!A63&gt;0,
                         calc3!A63&lt;=calc1!$H$2),
      IF(MOD(calc3!A63-1,modify!$B$6)=0,
            TRUE,
            FALSE),
      "")</f>
        <v/>
      </c>
      <c r="J63" s="69" t="str">
        <f>IF(I63=TRUE,
      IF(MOD(calc3!B63,modify!$K$2)=0,
            TRUE,
            FALSE),
      "")</f>
        <v/>
      </c>
      <c r="K63" s="20" t="str">
        <f>IF(I63=TRUE,
   "G0"&amp;
      " Z"&amp;calc1!$U$3&amp;
      " F"&amp; initialize!$W$3&amp;
      CHAR(10)&amp;
    "G0"&amp;
      " X"&amp;E63&amp;
      " Y"&amp;F63&amp;
      " F"&amp; initialize!$W$2&amp;
       REPT(CHAR(9),4)&amp;
       "; move to sample No. "&amp;A63&amp;
      CHAR(10)&amp;
   "G0"&amp;
      " Z"&amp;calc1!$T$3&amp;
      " F"&amp;initialize!$W$3,
 "")</f>
        <v/>
      </c>
      <c r="L63" s="71" t="str">
        <f>IF(calc3!I63=TRUE,
   "G0 "&amp;
      "Z"&amp;calc1!$U$3 &amp;
      " F"&amp;initialize!$W$3&amp;
      CHAR(10)&amp;
   "G0"&amp;
      " X"&amp;calc3!G63&amp;
      " Y"&amp;H63&amp;
      " F"&amp;initialize!$W$2&amp;
       REPT(CHAR(9),4)&amp;
       "; move to spot No."&amp;B63&amp;
      CHAR(10)&amp;
   "G0"&amp;
      " Z"&amp;calc1!$P$6+initialize!$Q$4&amp;
      " F"&amp;initialize!$W$3&amp;
       REPT(CHAR(9),5)&amp;
       "; decrease z-velocity for contact with TLC"&amp;
      CHAR(10)&amp;
   "G0"&amp;
      " Z"&amp;calc1!$P$6&amp;
      " F"&amp;initialize!$W$4,
  "")</f>
        <v/>
      </c>
      <c r="M63" s="20" t="str">
        <f>IF(AND(calc3!J63=TRUE,I64&lt;&gt;"", modify!$K$3&gt;0),
        "; cleaning process"&amp;
         CHAR(10)&amp;
         calc2!$C$8 &amp;
          REPT(
               CHAR(10)&amp;
               calc2!$C$8, modify!$K$3-1),
      "")</f>
        <v/>
      </c>
      <c r="N63" s="71" t="str">
        <f>IF(calc3!I63=TRUE,
      CHAR(10)&amp;
      "; Spot No."&amp;B63&amp;
      CHAR(10)&amp;
             IF(K63="", "", K63)&amp;                        REPLACE(N("rack"),1,1,"")&amp;CHAR(10)&amp;
             IF(calc2!$A$5="","",calc2!$A$5)&amp;        REPLACE(N("retraction"),1,1,"")&amp;CHAR(10)&amp;
             IF(L63="", "", L63)&amp;                           REPLACE(N("TLC"),1,1,"")&amp;CHAR(10)&amp;
             IF(calc2!$B$5="","",calc2!$B$5)&amp;         REPLACE(N("extrusion"),1,1,"")&amp;CHAR(10)&amp;
             IF(calc2!$C$5="","",calc2!$C$5)&amp;         REPLACE(N("waste"),1,1,"")&amp;CHAR(10)&amp;
             IF(M63="", "", M63)&amp;                          REPLACE(N("cleaning process"),1,1,""),
      "")</f>
        <v/>
      </c>
    </row>
    <row r="64" spans="1:14" ht="14.65" customHeight="1">
      <c r="A64" s="19">
        <v>63</v>
      </c>
      <c r="B64" s="69" t="str">
        <f>IF(calc3!I64=TRUE,
      COUNTIF(calc3!$I$2:I64,TRUE),
      "")</f>
        <v/>
      </c>
      <c r="C64" s="44" t="str">
        <f>IF(calc3!I64=TRUE,ROUNDUP(calc3!A64/calc1!$N$3,0),"")</f>
        <v/>
      </c>
      <c r="D64" s="69" t="str">
        <f>IF(calc3!I64=TRUE,MOD((calc3!A64-1),calc1!$N$3),"")</f>
        <v/>
      </c>
      <c r="E64" s="23" t="str">
        <f>IF(AND(calc3!I64=TRUE,
                         C64&lt;=calc1!$O$3),
      INT((calc3!A64-1)/calc1!$N$3)*calc1!$H$5+calc1!$P$3,
      "")</f>
        <v/>
      </c>
      <c r="F64" s="69" t="str">
        <f>IF(AND(calc3!I64=TRUE,
                        C64&lt;=calc1!$O$3),
      IF(
            calc1!$N$3=1,
                  calc1!$Q$3,
            IF(modify!$B$3="s-shape, starting at back left corner",
                  IF(ISODD(C64),
                             calc1!Q$3+D64*calc1!$H$4,
                              calc1!$S$3-D64*calc1!$H$4),
           IF(modify!$B$3="s-shape, starting at front left corner",
                  IF(ISEVEN(C64),
                              calc1!$Q$3+D64*calc1!$H$4,
                              calc1!$S$3-D64*calc1!$H$4),
            IF(modify!$B$3="non alternating, starting at back left corner",
                  calc1!$Q$3+D64*calc1!$H$4,
            IF(modify!$B$3="non alternating, starting at front left corner",
                  calc1!$S$3-D64*calc1!$H$4,
      ""))))),"")</f>
        <v/>
      </c>
      <c r="G64" s="23" t="str">
        <f>IF(calc3!I64=TRUE,
      IF(
            calc3!B64&lt;=calc1!$E$3,
                  calc1!$N$6-initialize!$Q$2/(calc1!$E$3+1)*calc3!B64,
            IF(calc3!B64&lt;=calc1!$E$3+calc1!$E$4,
                  calc1!$N$6-initialize!$Q$2/(calc1!$E$4+1)*(calc3!B64-calc1!$E$3)-calc1!$E$2-initialize!$Q$2,
           IF(calc3!B64&lt;=calc1!$H$3,
                  calc1!$N$6-initialize!$Q$2/(calc1!$E$5+1)*(calc3!B64-calc1!$E$3-calc1!$E$4)-(calc1!$E$2+initialize!$Q$2)*2,""))),"")</f>
        <v/>
      </c>
      <c r="H64" s="69" t="str">
        <f>IF(AND(calc3!I64=TRUE,
                         ROUNDUP(calc3!A64/calc1!$N$3,0)&lt;=calc1!$O$3),
      calc1!$O$6-initialize!$Q$3,
      "")</f>
        <v/>
      </c>
      <c r="I64" s="23" t="str">
        <f>IF(AND(calc3!A64&gt;0,
                         calc3!A64&lt;=calc1!$H$2),
      IF(MOD(calc3!A64-1,modify!$B$6)=0,
            TRUE,
            FALSE),
      "")</f>
        <v/>
      </c>
      <c r="J64" s="69" t="str">
        <f>IF(I64=TRUE,
      IF(MOD(calc3!B64,modify!$K$2)=0,
            TRUE,
            FALSE),
      "")</f>
        <v/>
      </c>
      <c r="K64" s="20" t="str">
        <f>IF(I64=TRUE,
   "G0"&amp;
      " Z"&amp;calc1!$U$3&amp;
      " F"&amp; initialize!$W$3&amp;
      CHAR(10)&amp;
    "G0"&amp;
      " X"&amp;E64&amp;
      " Y"&amp;F64&amp;
      " F"&amp; initialize!$W$2&amp;
       REPT(CHAR(9),4)&amp;
       "; move to sample No. "&amp;A64&amp;
      CHAR(10)&amp;
   "G0"&amp;
      " Z"&amp;calc1!$T$3&amp;
      " F"&amp;initialize!$W$3,
 "")</f>
        <v/>
      </c>
      <c r="L64" s="71" t="str">
        <f>IF(calc3!I64=TRUE,
   "G0 "&amp;
      "Z"&amp;calc1!$U$3 &amp;
      " F"&amp;initialize!$W$3&amp;
      CHAR(10)&amp;
   "G0"&amp;
      " X"&amp;calc3!G64&amp;
      " Y"&amp;H64&amp;
      " F"&amp;initialize!$W$2&amp;
       REPT(CHAR(9),4)&amp;
       "; move to spot No."&amp;B64&amp;
      CHAR(10)&amp;
   "G0"&amp;
      " Z"&amp;calc1!$P$6+initialize!$Q$4&amp;
      " F"&amp;initialize!$W$3&amp;
       REPT(CHAR(9),5)&amp;
       "; decrease z-velocity for contact with TLC"&amp;
      CHAR(10)&amp;
   "G0"&amp;
      " Z"&amp;calc1!$P$6&amp;
      " F"&amp;initialize!$W$4,
  "")</f>
        <v/>
      </c>
      <c r="M64" s="20" t="str">
        <f>IF(AND(calc3!J64=TRUE,I65&lt;&gt;"", modify!$K$3&gt;0),
        "; cleaning process"&amp;
         CHAR(10)&amp;
         calc2!$C$8 &amp;
          REPT(
               CHAR(10)&amp;
               calc2!$C$8, modify!$K$3-1),
      "")</f>
        <v/>
      </c>
      <c r="N64" s="71" t="str">
        <f>IF(calc3!I64=TRUE,
      CHAR(10)&amp;
      "; Spot No."&amp;B64&amp;
      CHAR(10)&amp;
             IF(K64="", "", K64)&amp;                        REPLACE(N("rack"),1,1,"")&amp;CHAR(10)&amp;
             IF(calc2!$A$5="","",calc2!$A$5)&amp;        REPLACE(N("retraction"),1,1,"")&amp;CHAR(10)&amp;
             IF(L64="", "", L64)&amp;                           REPLACE(N("TLC"),1,1,"")&amp;CHAR(10)&amp;
             IF(calc2!$B$5="","",calc2!$B$5)&amp;         REPLACE(N("extrusion"),1,1,"")&amp;CHAR(10)&amp;
             IF(calc2!$C$5="","",calc2!$C$5)&amp;         REPLACE(N("waste"),1,1,"")&amp;CHAR(10)&amp;
             IF(M64="", "", M64)&amp;                          REPLACE(N("cleaning process"),1,1,""),
      "")</f>
        <v/>
      </c>
    </row>
    <row r="65" spans="1:14" ht="14.65" customHeight="1">
      <c r="A65" s="19">
        <v>64</v>
      </c>
      <c r="B65" s="69" t="str">
        <f>IF(calc3!I65=TRUE,
      COUNTIF(calc3!$I$2:I65,TRUE),
      "")</f>
        <v/>
      </c>
      <c r="C65" s="44" t="str">
        <f>IF(calc3!I65=TRUE,ROUNDUP(calc3!A65/calc1!$N$3,0),"")</f>
        <v/>
      </c>
      <c r="D65" s="69" t="str">
        <f>IF(calc3!I65=TRUE,MOD((calc3!A65-1),calc1!$N$3),"")</f>
        <v/>
      </c>
      <c r="E65" s="23" t="str">
        <f>IF(AND(calc3!I65=TRUE,
                         C65&lt;=calc1!$O$3),
      INT((calc3!A65-1)/calc1!$N$3)*calc1!$H$5+calc1!$P$3,
      "")</f>
        <v/>
      </c>
      <c r="F65" s="69" t="str">
        <f>IF(AND(calc3!I65=TRUE,
                        C65&lt;=calc1!$O$3),
      IF(
            calc1!$N$3=1,
                  calc1!$Q$3,
            IF(modify!$B$3="s-shape, starting at back left corner",
                  IF(ISODD(C65),
                             calc1!Q$3+D65*calc1!$H$4,
                              calc1!$S$3-D65*calc1!$H$4),
           IF(modify!$B$3="s-shape, starting at front left corner",
                  IF(ISEVEN(C65),
                              calc1!$Q$3+D65*calc1!$H$4,
                              calc1!$S$3-D65*calc1!$H$4),
            IF(modify!$B$3="non alternating, starting at back left corner",
                  calc1!$Q$3+D65*calc1!$H$4,
            IF(modify!$B$3="non alternating, starting at front left corner",
                  calc1!$S$3-D65*calc1!$H$4,
      ""))))),"")</f>
        <v/>
      </c>
      <c r="G65" s="23" t="str">
        <f>IF(calc3!I65=TRUE,
      IF(
            calc3!B65&lt;=calc1!$E$3,
                  calc1!$N$6-initialize!$Q$2/(calc1!$E$3+1)*calc3!B65,
            IF(calc3!B65&lt;=calc1!$E$3+calc1!$E$4,
                  calc1!$N$6-initialize!$Q$2/(calc1!$E$4+1)*(calc3!B65-calc1!$E$3)-calc1!$E$2-initialize!$Q$2,
           IF(calc3!B65&lt;=calc1!$H$3,
                  calc1!$N$6-initialize!$Q$2/(calc1!$E$5+1)*(calc3!B65-calc1!$E$3-calc1!$E$4)-(calc1!$E$2+initialize!$Q$2)*2,""))),"")</f>
        <v/>
      </c>
      <c r="H65" s="69" t="str">
        <f>IF(AND(calc3!I65=TRUE,
                         ROUNDUP(calc3!A65/calc1!$N$3,0)&lt;=calc1!$O$3),
      calc1!$O$6-initialize!$Q$3,
      "")</f>
        <v/>
      </c>
      <c r="I65" s="23" t="str">
        <f>IF(AND(calc3!A65&gt;0,
                         calc3!A65&lt;=calc1!$H$2),
      IF(MOD(calc3!A65-1,modify!$B$6)=0,
            TRUE,
            FALSE),
      "")</f>
        <v/>
      </c>
      <c r="J65" s="69" t="str">
        <f>IF(I65=TRUE,
      IF(MOD(calc3!B65,modify!$K$2)=0,
            TRUE,
            FALSE),
      "")</f>
        <v/>
      </c>
      <c r="K65" s="20" t="str">
        <f>IF(I65=TRUE,
   "G0"&amp;
      " Z"&amp;calc1!$U$3&amp;
      " F"&amp; initialize!$W$3&amp;
      CHAR(10)&amp;
    "G0"&amp;
      " X"&amp;E65&amp;
      " Y"&amp;F65&amp;
      " F"&amp; initialize!$W$2&amp;
       REPT(CHAR(9),4)&amp;
       "; move to sample No. "&amp;A65&amp;
      CHAR(10)&amp;
   "G0"&amp;
      " Z"&amp;calc1!$T$3&amp;
      " F"&amp;initialize!$W$3,
 "")</f>
        <v/>
      </c>
      <c r="L65" s="71" t="str">
        <f>IF(calc3!I65=TRUE,
   "G0 "&amp;
      "Z"&amp;calc1!$U$3 &amp;
      " F"&amp;initialize!$W$3&amp;
      CHAR(10)&amp;
   "G0"&amp;
      " X"&amp;calc3!G65&amp;
      " Y"&amp;H65&amp;
      " F"&amp;initialize!$W$2&amp;
       REPT(CHAR(9),4)&amp;
       "; move to spot No."&amp;B65&amp;
      CHAR(10)&amp;
   "G0"&amp;
      " Z"&amp;calc1!$P$6+initialize!$Q$4&amp;
      " F"&amp;initialize!$W$3&amp;
       REPT(CHAR(9),5)&amp;
       "; decrease z-velocity for contact with TLC"&amp;
      CHAR(10)&amp;
   "G0"&amp;
      " Z"&amp;calc1!$P$6&amp;
      " F"&amp;initialize!$W$4,
  "")</f>
        <v/>
      </c>
      <c r="M65" s="20" t="str">
        <f>IF(AND(calc3!J65=TRUE,I66&lt;&gt;"", modify!$K$3&gt;0),
        "; cleaning process"&amp;
         CHAR(10)&amp;
         calc2!$C$8 &amp;
          REPT(
               CHAR(10)&amp;
               calc2!$C$8, modify!$K$3-1),
      "")</f>
        <v/>
      </c>
      <c r="N65" s="71" t="str">
        <f>IF(calc3!I65=TRUE,
      CHAR(10)&amp;
      "; Spot No."&amp;B65&amp;
      CHAR(10)&amp;
             IF(K65="", "", K65)&amp;                        REPLACE(N("rack"),1,1,"")&amp;CHAR(10)&amp;
             IF(calc2!$A$5="","",calc2!$A$5)&amp;        REPLACE(N("retraction"),1,1,"")&amp;CHAR(10)&amp;
             IF(L65="", "", L65)&amp;                           REPLACE(N("TLC"),1,1,"")&amp;CHAR(10)&amp;
             IF(calc2!$B$5="","",calc2!$B$5)&amp;         REPLACE(N("extrusion"),1,1,"")&amp;CHAR(10)&amp;
             IF(calc2!$C$5="","",calc2!$C$5)&amp;         REPLACE(N("waste"),1,1,"")&amp;CHAR(10)&amp;
             IF(M65="", "", M65)&amp;                          REPLACE(N("cleaning process"),1,1,""),
      "")</f>
        <v/>
      </c>
    </row>
    <row r="66" spans="1:14" ht="14.65" customHeight="1">
      <c r="A66" s="19">
        <v>65</v>
      </c>
      <c r="B66" s="69" t="str">
        <f>IF(calc3!I66=TRUE,
      COUNTIF(calc3!$I$2:I66,TRUE),
      "")</f>
        <v/>
      </c>
      <c r="C66" s="44" t="str">
        <f>IF(calc3!I66=TRUE,ROUNDUP(calc3!A66/calc1!$N$3,0),"")</f>
        <v/>
      </c>
      <c r="D66" s="69" t="str">
        <f>IF(calc3!I66=TRUE,MOD((calc3!A66-1),calc1!$N$3),"")</f>
        <v/>
      </c>
      <c r="E66" s="23" t="str">
        <f>IF(AND(calc3!I66=TRUE,
                         C66&lt;=calc1!$O$3),
      INT((calc3!A66-1)/calc1!$N$3)*calc1!$H$5+calc1!$P$3,
      "")</f>
        <v/>
      </c>
      <c r="F66" s="69" t="str">
        <f>IF(AND(calc3!I66=TRUE,
                        C66&lt;=calc1!$O$3),
      IF(
            calc1!$N$3=1,
                  calc1!$Q$3,
            IF(modify!$B$3="s-shape, starting at back left corner",
                  IF(ISODD(C66),
                             calc1!Q$3+D66*calc1!$H$4,
                              calc1!$S$3-D66*calc1!$H$4),
           IF(modify!$B$3="s-shape, starting at front left corner",
                  IF(ISEVEN(C66),
                              calc1!$Q$3+D66*calc1!$H$4,
                              calc1!$S$3-D66*calc1!$H$4),
            IF(modify!$B$3="non alternating, starting at back left corner",
                  calc1!$Q$3+D66*calc1!$H$4,
            IF(modify!$B$3="non alternating, starting at front left corner",
                  calc1!$S$3-D66*calc1!$H$4,
      ""))))),"")</f>
        <v/>
      </c>
      <c r="G66" s="23" t="str">
        <f>IF(calc3!I66=TRUE,
      IF(
            calc3!B66&lt;=calc1!$E$3,
                  calc1!$N$6-initialize!$Q$2/(calc1!$E$3+1)*calc3!B66,
            IF(calc3!B66&lt;=calc1!$E$3+calc1!$E$4,
                  calc1!$N$6-initialize!$Q$2/(calc1!$E$4+1)*(calc3!B66-calc1!$E$3)-calc1!$E$2-initialize!$Q$2,
           IF(calc3!B66&lt;=calc1!$H$3,
                  calc1!$N$6-initialize!$Q$2/(calc1!$E$5+1)*(calc3!B66-calc1!$E$3-calc1!$E$4)-(calc1!$E$2+initialize!$Q$2)*2,""))),"")</f>
        <v/>
      </c>
      <c r="H66" s="69" t="str">
        <f>IF(AND(calc3!I66=TRUE,
                         ROUNDUP(calc3!A66/calc1!$N$3,0)&lt;=calc1!$O$3),
      calc1!$O$6-initialize!$Q$3,
      "")</f>
        <v/>
      </c>
      <c r="I66" s="23" t="str">
        <f>IF(AND(calc3!A66&gt;0,
                         calc3!A66&lt;=calc1!$H$2),
      IF(MOD(calc3!A66-1,modify!$B$6)=0,
            TRUE,
            FALSE),
      "")</f>
        <v/>
      </c>
      <c r="J66" s="69" t="str">
        <f>IF(I66=TRUE,
      IF(MOD(calc3!B66,modify!$K$2)=0,
            TRUE,
            FALSE),
      "")</f>
        <v/>
      </c>
      <c r="K66" s="20" t="str">
        <f>IF(I66=TRUE,
   "G0"&amp;
      " Z"&amp;calc1!$U$3&amp;
      " F"&amp; initialize!$W$3&amp;
      CHAR(10)&amp;
    "G0"&amp;
      " X"&amp;E66&amp;
      " Y"&amp;F66&amp;
      " F"&amp; initialize!$W$2&amp;
       REPT(CHAR(9),4)&amp;
       "; move to sample No. "&amp;A66&amp;
      CHAR(10)&amp;
   "G0"&amp;
      " Z"&amp;calc1!$T$3&amp;
      " F"&amp;initialize!$W$3,
 "")</f>
        <v/>
      </c>
      <c r="L66" s="71" t="str">
        <f>IF(calc3!I66=TRUE,
   "G0 "&amp;
      "Z"&amp;calc1!$U$3 &amp;
      " F"&amp;initialize!$W$3&amp;
      CHAR(10)&amp;
   "G0"&amp;
      " X"&amp;calc3!G66&amp;
      " Y"&amp;H66&amp;
      " F"&amp;initialize!$W$2&amp;
       REPT(CHAR(9),4)&amp;
       "; move to spot No."&amp;B66&amp;
      CHAR(10)&amp;
   "G0"&amp;
      " Z"&amp;calc1!$P$6+initialize!$Q$4&amp;
      " F"&amp;initialize!$W$3&amp;
       REPT(CHAR(9),5)&amp;
       "; decrease z-velocity for contact with TLC"&amp;
      CHAR(10)&amp;
   "G0"&amp;
      " Z"&amp;calc1!$P$6&amp;
      " F"&amp;initialize!$W$4,
  "")</f>
        <v/>
      </c>
      <c r="M66" s="20" t="str">
        <f>IF(AND(calc3!J66=TRUE,I67&lt;&gt;"", modify!$K$3&gt;0),
        "; cleaning process"&amp;
         CHAR(10)&amp;
         calc2!$C$8 &amp;
          REPT(
               CHAR(10)&amp;
               calc2!$C$8, modify!$K$3-1),
      "")</f>
        <v/>
      </c>
      <c r="N66" s="71" t="str">
        <f>IF(calc3!I66=TRUE,
      CHAR(10)&amp;
      "; Spot No."&amp;B66&amp;
      CHAR(10)&amp;
             IF(K66="", "", K66)&amp;                        REPLACE(N("rack"),1,1,"")&amp;CHAR(10)&amp;
             IF(calc2!$A$5="","",calc2!$A$5)&amp;        REPLACE(N("retraction"),1,1,"")&amp;CHAR(10)&amp;
             IF(L66="", "", L66)&amp;                           REPLACE(N("TLC"),1,1,"")&amp;CHAR(10)&amp;
             IF(calc2!$B$5="","",calc2!$B$5)&amp;         REPLACE(N("extrusion"),1,1,"")&amp;CHAR(10)&amp;
             IF(calc2!$C$5="","",calc2!$C$5)&amp;         REPLACE(N("waste"),1,1,"")&amp;CHAR(10)&amp;
             IF(M66="", "", M66)&amp;                          REPLACE(N("cleaning process"),1,1,""),
      "")</f>
        <v/>
      </c>
    </row>
    <row r="67" spans="1:14" ht="14.65" customHeight="1">
      <c r="A67" s="19">
        <v>66</v>
      </c>
      <c r="B67" s="69" t="str">
        <f>IF(calc3!I67=TRUE,
      COUNTIF(calc3!$I$2:I67,TRUE),
      "")</f>
        <v/>
      </c>
      <c r="C67" s="44" t="str">
        <f>IF(calc3!I67=TRUE,ROUNDUP(calc3!A67/calc1!$N$3,0),"")</f>
        <v/>
      </c>
      <c r="D67" s="69" t="str">
        <f>IF(calc3!I67=TRUE,MOD((calc3!A67-1),calc1!$N$3),"")</f>
        <v/>
      </c>
      <c r="E67" s="23" t="str">
        <f>IF(AND(calc3!I67=TRUE,
                         C67&lt;=calc1!$O$3),
      INT((calc3!A67-1)/calc1!$N$3)*calc1!$H$5+calc1!$P$3,
      "")</f>
        <v/>
      </c>
      <c r="F67" s="69" t="str">
        <f>IF(AND(calc3!I67=TRUE,
                        C67&lt;=calc1!$O$3),
      IF(
            calc1!$N$3=1,
                  calc1!$Q$3,
            IF(modify!$B$3="s-shape, starting at back left corner",
                  IF(ISODD(C67),
                             calc1!Q$3+D67*calc1!$H$4,
                              calc1!$S$3-D67*calc1!$H$4),
           IF(modify!$B$3="s-shape, starting at front left corner",
                  IF(ISEVEN(C67),
                              calc1!$Q$3+D67*calc1!$H$4,
                              calc1!$S$3-D67*calc1!$H$4),
            IF(modify!$B$3="non alternating, starting at back left corner",
                  calc1!$Q$3+D67*calc1!$H$4,
            IF(modify!$B$3="non alternating, starting at front left corner",
                  calc1!$S$3-D67*calc1!$H$4,
      ""))))),"")</f>
        <v/>
      </c>
      <c r="G67" s="23" t="str">
        <f>IF(calc3!I67=TRUE,
      IF(
            calc3!B67&lt;=calc1!$E$3,
                  calc1!$N$6-initialize!$Q$2/(calc1!$E$3+1)*calc3!B67,
            IF(calc3!B67&lt;=calc1!$E$3+calc1!$E$4,
                  calc1!$N$6-initialize!$Q$2/(calc1!$E$4+1)*(calc3!B67-calc1!$E$3)-calc1!$E$2-initialize!$Q$2,
           IF(calc3!B67&lt;=calc1!$H$3,
                  calc1!$N$6-initialize!$Q$2/(calc1!$E$5+1)*(calc3!B67-calc1!$E$3-calc1!$E$4)-(calc1!$E$2+initialize!$Q$2)*2,""))),"")</f>
        <v/>
      </c>
      <c r="H67" s="69" t="str">
        <f>IF(AND(calc3!I67=TRUE,
                         ROUNDUP(calc3!A67/calc1!$N$3,0)&lt;=calc1!$O$3),
      calc1!$O$6-initialize!$Q$3,
      "")</f>
        <v/>
      </c>
      <c r="I67" s="23" t="str">
        <f>IF(AND(calc3!A67&gt;0,
                         calc3!A67&lt;=calc1!$H$2),
      IF(MOD(calc3!A67-1,modify!$B$6)=0,
            TRUE,
            FALSE),
      "")</f>
        <v/>
      </c>
      <c r="J67" s="69" t="str">
        <f>IF(I67=TRUE,
      IF(MOD(calc3!B67,modify!$K$2)=0,
            TRUE,
            FALSE),
      "")</f>
        <v/>
      </c>
      <c r="K67" s="20" t="str">
        <f>IF(I67=TRUE,
   "G0"&amp;
      " Z"&amp;calc1!$U$3&amp;
      " F"&amp; initialize!$W$3&amp;
      CHAR(10)&amp;
    "G0"&amp;
      " X"&amp;E67&amp;
      " Y"&amp;F67&amp;
      " F"&amp; initialize!$W$2&amp;
       REPT(CHAR(9),4)&amp;
       "; move to sample No. "&amp;A67&amp;
      CHAR(10)&amp;
   "G0"&amp;
      " Z"&amp;calc1!$T$3&amp;
      " F"&amp;initialize!$W$3,
 "")</f>
        <v/>
      </c>
      <c r="L67" s="71" t="str">
        <f>IF(calc3!I67=TRUE,
   "G0 "&amp;
      "Z"&amp;calc1!$U$3 &amp;
      " F"&amp;initialize!$W$3&amp;
      CHAR(10)&amp;
   "G0"&amp;
      " X"&amp;calc3!G67&amp;
      " Y"&amp;H67&amp;
      " F"&amp;initialize!$W$2&amp;
       REPT(CHAR(9),4)&amp;
       "; move to spot No."&amp;B67&amp;
      CHAR(10)&amp;
   "G0"&amp;
      " Z"&amp;calc1!$P$6+initialize!$Q$4&amp;
      " F"&amp;initialize!$W$3&amp;
       REPT(CHAR(9),5)&amp;
       "; decrease z-velocity for contact with TLC"&amp;
      CHAR(10)&amp;
   "G0"&amp;
      " Z"&amp;calc1!$P$6&amp;
      " F"&amp;initialize!$W$4,
  "")</f>
        <v/>
      </c>
      <c r="M67" s="20" t="str">
        <f>IF(AND(calc3!J67=TRUE,I68&lt;&gt;"", modify!$K$3&gt;0),
        "; cleaning process"&amp;
         CHAR(10)&amp;
         calc2!$C$8 &amp;
          REPT(
               CHAR(10)&amp;
               calc2!$C$8, modify!$K$3-1),
      "")</f>
        <v/>
      </c>
      <c r="N67" s="71" t="str">
        <f>IF(calc3!I67=TRUE,
      CHAR(10)&amp;
      "; Spot No."&amp;B67&amp;
      CHAR(10)&amp;
             IF(K67="", "", K67)&amp;                        REPLACE(N("rack"),1,1,"")&amp;CHAR(10)&amp;
             IF(calc2!$A$5="","",calc2!$A$5)&amp;        REPLACE(N("retraction"),1,1,"")&amp;CHAR(10)&amp;
             IF(L67="", "", L67)&amp;                           REPLACE(N("TLC"),1,1,"")&amp;CHAR(10)&amp;
             IF(calc2!$B$5="","",calc2!$B$5)&amp;         REPLACE(N("extrusion"),1,1,"")&amp;CHAR(10)&amp;
             IF(calc2!$C$5="","",calc2!$C$5)&amp;         REPLACE(N("waste"),1,1,"")&amp;CHAR(10)&amp;
             IF(M67="", "", M67)&amp;                          REPLACE(N("cleaning process"),1,1,""),
      "")</f>
        <v/>
      </c>
    </row>
    <row r="68" spans="1:14" ht="14.65" customHeight="1">
      <c r="A68" s="19">
        <v>67</v>
      </c>
      <c r="B68" s="69" t="str">
        <f>IF(calc3!I68=TRUE,
      COUNTIF(calc3!$I$2:I68,TRUE),
      "")</f>
        <v/>
      </c>
      <c r="C68" s="44" t="str">
        <f>IF(calc3!I68=TRUE,ROUNDUP(calc3!A68/calc1!$N$3,0),"")</f>
        <v/>
      </c>
      <c r="D68" s="69" t="str">
        <f>IF(calc3!I68=TRUE,MOD((calc3!A68-1),calc1!$N$3),"")</f>
        <v/>
      </c>
      <c r="E68" s="23" t="str">
        <f>IF(AND(calc3!I68=TRUE,
                         C68&lt;=calc1!$O$3),
      INT((calc3!A68-1)/calc1!$N$3)*calc1!$H$5+calc1!$P$3,
      "")</f>
        <v/>
      </c>
      <c r="F68" s="69" t="str">
        <f>IF(AND(calc3!I68=TRUE,
                        C68&lt;=calc1!$O$3),
      IF(
            calc1!$N$3=1,
                  calc1!$Q$3,
            IF(modify!$B$3="s-shape, starting at back left corner",
                  IF(ISODD(C68),
                             calc1!Q$3+D68*calc1!$H$4,
                              calc1!$S$3-D68*calc1!$H$4),
           IF(modify!$B$3="s-shape, starting at front left corner",
                  IF(ISEVEN(C68),
                              calc1!$Q$3+D68*calc1!$H$4,
                              calc1!$S$3-D68*calc1!$H$4),
            IF(modify!$B$3="non alternating, starting at back left corner",
                  calc1!$Q$3+D68*calc1!$H$4,
            IF(modify!$B$3="non alternating, starting at front left corner",
                  calc1!$S$3-D68*calc1!$H$4,
      ""))))),"")</f>
        <v/>
      </c>
      <c r="G68" s="23" t="str">
        <f>IF(calc3!I68=TRUE,
      IF(
            calc3!B68&lt;=calc1!$E$3,
                  calc1!$N$6-initialize!$Q$2/(calc1!$E$3+1)*calc3!B68,
            IF(calc3!B68&lt;=calc1!$E$3+calc1!$E$4,
                  calc1!$N$6-initialize!$Q$2/(calc1!$E$4+1)*(calc3!B68-calc1!$E$3)-calc1!$E$2-initialize!$Q$2,
           IF(calc3!B68&lt;=calc1!$H$3,
                  calc1!$N$6-initialize!$Q$2/(calc1!$E$5+1)*(calc3!B68-calc1!$E$3-calc1!$E$4)-(calc1!$E$2+initialize!$Q$2)*2,""))),"")</f>
        <v/>
      </c>
      <c r="H68" s="69" t="str">
        <f>IF(AND(calc3!I68=TRUE,
                         ROUNDUP(calc3!A68/calc1!$N$3,0)&lt;=calc1!$O$3),
      calc1!$O$6-initialize!$Q$3,
      "")</f>
        <v/>
      </c>
      <c r="I68" s="23" t="str">
        <f>IF(AND(calc3!A68&gt;0,
                         calc3!A68&lt;=calc1!$H$2),
      IF(MOD(calc3!A68-1,modify!$B$6)=0,
            TRUE,
            FALSE),
      "")</f>
        <v/>
      </c>
      <c r="J68" s="69" t="str">
        <f>IF(I68=TRUE,
      IF(MOD(calc3!B68,modify!$K$2)=0,
            TRUE,
            FALSE),
      "")</f>
        <v/>
      </c>
      <c r="K68" s="20" t="str">
        <f>IF(I68=TRUE,
   "G0"&amp;
      " Z"&amp;calc1!$U$3&amp;
      " F"&amp; initialize!$W$3&amp;
      CHAR(10)&amp;
    "G0"&amp;
      " X"&amp;E68&amp;
      " Y"&amp;F68&amp;
      " F"&amp; initialize!$W$2&amp;
       REPT(CHAR(9),4)&amp;
       "; move to sample No. "&amp;A68&amp;
      CHAR(10)&amp;
   "G0"&amp;
      " Z"&amp;calc1!$T$3&amp;
      " F"&amp;initialize!$W$3,
 "")</f>
        <v/>
      </c>
      <c r="L68" s="71" t="str">
        <f>IF(calc3!I68=TRUE,
   "G0 "&amp;
      "Z"&amp;calc1!$U$3 &amp;
      " F"&amp;initialize!$W$3&amp;
      CHAR(10)&amp;
   "G0"&amp;
      " X"&amp;calc3!G68&amp;
      " Y"&amp;H68&amp;
      " F"&amp;initialize!$W$2&amp;
       REPT(CHAR(9),4)&amp;
       "; move to spot No."&amp;B68&amp;
      CHAR(10)&amp;
   "G0"&amp;
      " Z"&amp;calc1!$P$6+initialize!$Q$4&amp;
      " F"&amp;initialize!$W$3&amp;
       REPT(CHAR(9),5)&amp;
       "; decrease z-velocity for contact with TLC"&amp;
      CHAR(10)&amp;
   "G0"&amp;
      " Z"&amp;calc1!$P$6&amp;
      " F"&amp;initialize!$W$4,
  "")</f>
        <v/>
      </c>
      <c r="M68" s="20" t="str">
        <f>IF(AND(calc3!J68=TRUE,I69&lt;&gt;"", modify!$K$3&gt;0),
        "; cleaning process"&amp;
         CHAR(10)&amp;
         calc2!$C$8 &amp;
          REPT(
               CHAR(10)&amp;
               calc2!$C$8, modify!$K$3-1),
      "")</f>
        <v/>
      </c>
      <c r="N68" s="71" t="str">
        <f>IF(calc3!I68=TRUE,
      CHAR(10)&amp;
      "; Spot No."&amp;B68&amp;
      CHAR(10)&amp;
             IF(K68="", "", K68)&amp;                        REPLACE(N("rack"),1,1,"")&amp;CHAR(10)&amp;
             IF(calc2!$A$5="","",calc2!$A$5)&amp;        REPLACE(N("retraction"),1,1,"")&amp;CHAR(10)&amp;
             IF(L68="", "", L68)&amp;                           REPLACE(N("TLC"),1,1,"")&amp;CHAR(10)&amp;
             IF(calc2!$B$5="","",calc2!$B$5)&amp;         REPLACE(N("extrusion"),1,1,"")&amp;CHAR(10)&amp;
             IF(calc2!$C$5="","",calc2!$C$5)&amp;         REPLACE(N("waste"),1,1,"")&amp;CHAR(10)&amp;
             IF(M68="", "", M68)&amp;                          REPLACE(N("cleaning process"),1,1,""),
      "")</f>
        <v/>
      </c>
    </row>
    <row r="69" spans="1:14" ht="14.65" customHeight="1">
      <c r="A69" s="19">
        <v>68</v>
      </c>
      <c r="B69" s="69" t="str">
        <f>IF(calc3!I69=TRUE,
      COUNTIF(calc3!$I$2:I69,TRUE),
      "")</f>
        <v/>
      </c>
      <c r="C69" s="44" t="str">
        <f>IF(calc3!I69=TRUE,ROUNDUP(calc3!A69/calc1!$N$3,0),"")</f>
        <v/>
      </c>
      <c r="D69" s="69" t="str">
        <f>IF(calc3!I69=TRUE,MOD((calc3!A69-1),calc1!$N$3),"")</f>
        <v/>
      </c>
      <c r="E69" s="23" t="str">
        <f>IF(AND(calc3!I69=TRUE,
                         C69&lt;=calc1!$O$3),
      INT((calc3!A69-1)/calc1!$N$3)*calc1!$H$5+calc1!$P$3,
      "")</f>
        <v/>
      </c>
      <c r="F69" s="69" t="str">
        <f>IF(AND(calc3!I69=TRUE,
                        C69&lt;=calc1!$O$3),
      IF(
            calc1!$N$3=1,
                  calc1!$Q$3,
            IF(modify!$B$3="s-shape, starting at back left corner",
                  IF(ISODD(C69),
                             calc1!Q$3+D69*calc1!$H$4,
                              calc1!$S$3-D69*calc1!$H$4),
           IF(modify!$B$3="s-shape, starting at front left corner",
                  IF(ISEVEN(C69),
                              calc1!$Q$3+D69*calc1!$H$4,
                              calc1!$S$3-D69*calc1!$H$4),
            IF(modify!$B$3="non alternating, starting at back left corner",
                  calc1!$Q$3+D69*calc1!$H$4,
            IF(modify!$B$3="non alternating, starting at front left corner",
                  calc1!$S$3-D69*calc1!$H$4,
      ""))))),"")</f>
        <v/>
      </c>
      <c r="G69" s="23" t="str">
        <f>IF(calc3!I69=TRUE,
      IF(
            calc3!B69&lt;=calc1!$E$3,
                  calc1!$N$6-initialize!$Q$2/(calc1!$E$3+1)*calc3!B69,
            IF(calc3!B69&lt;=calc1!$E$3+calc1!$E$4,
                  calc1!$N$6-initialize!$Q$2/(calc1!$E$4+1)*(calc3!B69-calc1!$E$3)-calc1!$E$2-initialize!$Q$2,
           IF(calc3!B69&lt;=calc1!$H$3,
                  calc1!$N$6-initialize!$Q$2/(calc1!$E$5+1)*(calc3!B69-calc1!$E$3-calc1!$E$4)-(calc1!$E$2+initialize!$Q$2)*2,""))),"")</f>
        <v/>
      </c>
      <c r="H69" s="69" t="str">
        <f>IF(AND(calc3!I69=TRUE,
                         ROUNDUP(calc3!A69/calc1!$N$3,0)&lt;=calc1!$O$3),
      calc1!$O$6-initialize!$Q$3,
      "")</f>
        <v/>
      </c>
      <c r="I69" s="23" t="str">
        <f>IF(AND(calc3!A69&gt;0,
                         calc3!A69&lt;=calc1!$H$2),
      IF(MOD(calc3!A69-1,modify!$B$6)=0,
            TRUE,
            FALSE),
      "")</f>
        <v/>
      </c>
      <c r="J69" s="69" t="str">
        <f>IF(I69=TRUE,
      IF(MOD(calc3!B69,modify!$K$2)=0,
            TRUE,
            FALSE),
      "")</f>
        <v/>
      </c>
      <c r="K69" s="20" t="str">
        <f>IF(I69=TRUE,
   "G0"&amp;
      " Z"&amp;calc1!$U$3&amp;
      " F"&amp; initialize!$W$3&amp;
      CHAR(10)&amp;
    "G0"&amp;
      " X"&amp;E69&amp;
      " Y"&amp;F69&amp;
      " F"&amp; initialize!$W$2&amp;
       REPT(CHAR(9),4)&amp;
       "; move to sample No. "&amp;A69&amp;
      CHAR(10)&amp;
   "G0"&amp;
      " Z"&amp;calc1!$T$3&amp;
      " F"&amp;initialize!$W$3,
 "")</f>
        <v/>
      </c>
      <c r="L69" s="71" t="str">
        <f>IF(calc3!I69=TRUE,
   "G0 "&amp;
      "Z"&amp;calc1!$U$3 &amp;
      " F"&amp;initialize!$W$3&amp;
      CHAR(10)&amp;
   "G0"&amp;
      " X"&amp;calc3!G69&amp;
      " Y"&amp;H69&amp;
      " F"&amp;initialize!$W$2&amp;
       REPT(CHAR(9),4)&amp;
       "; move to spot No."&amp;B69&amp;
      CHAR(10)&amp;
   "G0"&amp;
      " Z"&amp;calc1!$P$6+initialize!$Q$4&amp;
      " F"&amp;initialize!$W$3&amp;
       REPT(CHAR(9),5)&amp;
       "; decrease z-velocity for contact with TLC"&amp;
      CHAR(10)&amp;
   "G0"&amp;
      " Z"&amp;calc1!$P$6&amp;
      " F"&amp;initialize!$W$4,
  "")</f>
        <v/>
      </c>
      <c r="M69" s="20" t="str">
        <f>IF(AND(calc3!J69=TRUE,I70&lt;&gt;"", modify!$K$3&gt;0),
        "; cleaning process"&amp;
         CHAR(10)&amp;
         calc2!$C$8 &amp;
          REPT(
               CHAR(10)&amp;
               calc2!$C$8, modify!$K$3-1),
      "")</f>
        <v/>
      </c>
      <c r="N69" s="71" t="str">
        <f>IF(calc3!I69=TRUE,
      CHAR(10)&amp;
      "; Spot No."&amp;B69&amp;
      CHAR(10)&amp;
             IF(K69="", "", K69)&amp;                        REPLACE(N("rack"),1,1,"")&amp;CHAR(10)&amp;
             IF(calc2!$A$5="","",calc2!$A$5)&amp;        REPLACE(N("retraction"),1,1,"")&amp;CHAR(10)&amp;
             IF(L69="", "", L69)&amp;                           REPLACE(N("TLC"),1,1,"")&amp;CHAR(10)&amp;
             IF(calc2!$B$5="","",calc2!$B$5)&amp;         REPLACE(N("extrusion"),1,1,"")&amp;CHAR(10)&amp;
             IF(calc2!$C$5="","",calc2!$C$5)&amp;         REPLACE(N("waste"),1,1,"")&amp;CHAR(10)&amp;
             IF(M69="", "", M69)&amp;                          REPLACE(N("cleaning process"),1,1,""),
      "")</f>
        <v/>
      </c>
    </row>
    <row r="70" spans="1:14" ht="14.65" customHeight="1">
      <c r="A70" s="19">
        <v>69</v>
      </c>
      <c r="B70" s="69" t="str">
        <f>IF(calc3!I70=TRUE,
      COUNTIF(calc3!$I$2:I70,TRUE),
      "")</f>
        <v/>
      </c>
      <c r="C70" s="44" t="str">
        <f>IF(calc3!I70=TRUE,ROUNDUP(calc3!A70/calc1!$N$3,0),"")</f>
        <v/>
      </c>
      <c r="D70" s="69" t="str">
        <f>IF(calc3!I70=TRUE,MOD((calc3!A70-1),calc1!$N$3),"")</f>
        <v/>
      </c>
      <c r="E70" s="23" t="str">
        <f>IF(AND(calc3!I70=TRUE,
                         C70&lt;=calc1!$O$3),
      INT((calc3!A70-1)/calc1!$N$3)*calc1!$H$5+calc1!$P$3,
      "")</f>
        <v/>
      </c>
      <c r="F70" s="69" t="str">
        <f>IF(AND(calc3!I70=TRUE,
                        C70&lt;=calc1!$O$3),
      IF(
            calc1!$N$3=1,
                  calc1!$Q$3,
            IF(modify!$B$3="s-shape, starting at back left corner",
                  IF(ISODD(C70),
                             calc1!Q$3+D70*calc1!$H$4,
                              calc1!$S$3-D70*calc1!$H$4),
           IF(modify!$B$3="s-shape, starting at front left corner",
                  IF(ISEVEN(C70),
                              calc1!$Q$3+D70*calc1!$H$4,
                              calc1!$S$3-D70*calc1!$H$4),
            IF(modify!$B$3="non alternating, starting at back left corner",
                  calc1!$Q$3+D70*calc1!$H$4,
            IF(modify!$B$3="non alternating, starting at front left corner",
                  calc1!$S$3-D70*calc1!$H$4,
      ""))))),"")</f>
        <v/>
      </c>
      <c r="G70" s="23" t="str">
        <f>IF(calc3!I70=TRUE,
      IF(
            calc3!B70&lt;=calc1!$E$3,
                  calc1!$N$6-initialize!$Q$2/(calc1!$E$3+1)*calc3!B70,
            IF(calc3!B70&lt;=calc1!$E$3+calc1!$E$4,
                  calc1!$N$6-initialize!$Q$2/(calc1!$E$4+1)*(calc3!B70-calc1!$E$3)-calc1!$E$2-initialize!$Q$2,
           IF(calc3!B70&lt;=calc1!$H$3,
                  calc1!$N$6-initialize!$Q$2/(calc1!$E$5+1)*(calc3!B70-calc1!$E$3-calc1!$E$4)-(calc1!$E$2+initialize!$Q$2)*2,""))),"")</f>
        <v/>
      </c>
      <c r="H70" s="69" t="str">
        <f>IF(AND(calc3!I70=TRUE,
                         ROUNDUP(calc3!A70/calc1!$N$3,0)&lt;=calc1!$O$3),
      calc1!$O$6-initialize!$Q$3,
      "")</f>
        <v/>
      </c>
      <c r="I70" s="23" t="str">
        <f>IF(AND(calc3!A70&gt;0,
                         calc3!A70&lt;=calc1!$H$2),
      IF(MOD(calc3!A70-1,modify!$B$6)=0,
            TRUE,
            FALSE),
      "")</f>
        <v/>
      </c>
      <c r="J70" s="69" t="str">
        <f>IF(I70=TRUE,
      IF(MOD(calc3!B70,modify!$K$2)=0,
            TRUE,
            FALSE),
      "")</f>
        <v/>
      </c>
      <c r="K70" s="20" t="str">
        <f>IF(I70=TRUE,
   "G0"&amp;
      " Z"&amp;calc1!$U$3&amp;
      " F"&amp; initialize!$W$3&amp;
      CHAR(10)&amp;
    "G0"&amp;
      " X"&amp;E70&amp;
      " Y"&amp;F70&amp;
      " F"&amp; initialize!$W$2&amp;
       REPT(CHAR(9),4)&amp;
       "; move to sample No. "&amp;A70&amp;
      CHAR(10)&amp;
   "G0"&amp;
      " Z"&amp;calc1!$T$3&amp;
      " F"&amp;initialize!$W$3,
 "")</f>
        <v/>
      </c>
      <c r="L70" s="71" t="str">
        <f>IF(calc3!I70=TRUE,
   "G0 "&amp;
      "Z"&amp;calc1!$U$3 &amp;
      " F"&amp;initialize!$W$3&amp;
      CHAR(10)&amp;
   "G0"&amp;
      " X"&amp;calc3!G70&amp;
      " Y"&amp;H70&amp;
      " F"&amp;initialize!$W$2&amp;
       REPT(CHAR(9),4)&amp;
       "; move to spot No."&amp;B70&amp;
      CHAR(10)&amp;
   "G0"&amp;
      " Z"&amp;calc1!$P$6+initialize!$Q$4&amp;
      " F"&amp;initialize!$W$3&amp;
       REPT(CHAR(9),5)&amp;
       "; decrease z-velocity for contact with TLC"&amp;
      CHAR(10)&amp;
   "G0"&amp;
      " Z"&amp;calc1!$P$6&amp;
      " F"&amp;initialize!$W$4,
  "")</f>
        <v/>
      </c>
      <c r="M70" s="20" t="str">
        <f>IF(AND(calc3!J70=TRUE,I71&lt;&gt;"", modify!$K$3&gt;0),
        "; cleaning process"&amp;
         CHAR(10)&amp;
         calc2!$C$8 &amp;
          REPT(
               CHAR(10)&amp;
               calc2!$C$8, modify!$K$3-1),
      "")</f>
        <v/>
      </c>
      <c r="N70" s="71" t="str">
        <f>IF(calc3!I70=TRUE,
      CHAR(10)&amp;
      "; Spot No."&amp;B70&amp;
      CHAR(10)&amp;
             IF(K70="", "", K70)&amp;                        REPLACE(N("rack"),1,1,"")&amp;CHAR(10)&amp;
             IF(calc2!$A$5="","",calc2!$A$5)&amp;        REPLACE(N("retraction"),1,1,"")&amp;CHAR(10)&amp;
             IF(L70="", "", L70)&amp;                           REPLACE(N("TLC"),1,1,"")&amp;CHAR(10)&amp;
             IF(calc2!$B$5="","",calc2!$B$5)&amp;         REPLACE(N("extrusion"),1,1,"")&amp;CHAR(10)&amp;
             IF(calc2!$C$5="","",calc2!$C$5)&amp;         REPLACE(N("waste"),1,1,"")&amp;CHAR(10)&amp;
             IF(M70="", "", M70)&amp;                          REPLACE(N("cleaning process"),1,1,""),
      "")</f>
        <v/>
      </c>
    </row>
    <row r="71" spans="1:14" ht="14.65" customHeight="1">
      <c r="A71" s="19">
        <v>70</v>
      </c>
      <c r="B71" s="69" t="str">
        <f>IF(calc3!I71=TRUE,
      COUNTIF(calc3!$I$2:I71,TRUE),
      "")</f>
        <v/>
      </c>
      <c r="C71" s="44" t="str">
        <f>IF(calc3!I71=TRUE,ROUNDUP(calc3!A71/calc1!$N$3,0),"")</f>
        <v/>
      </c>
      <c r="D71" s="69" t="str">
        <f>IF(calc3!I71=TRUE,MOD((calc3!A71-1),calc1!$N$3),"")</f>
        <v/>
      </c>
      <c r="E71" s="23" t="str">
        <f>IF(AND(calc3!I71=TRUE,
                         C71&lt;=calc1!$O$3),
      INT((calc3!A71-1)/calc1!$N$3)*calc1!$H$5+calc1!$P$3,
      "")</f>
        <v/>
      </c>
      <c r="F71" s="69" t="str">
        <f>IF(AND(calc3!I71=TRUE,
                        C71&lt;=calc1!$O$3),
      IF(
            calc1!$N$3=1,
                  calc1!$Q$3,
            IF(modify!$B$3="s-shape, starting at back left corner",
                  IF(ISODD(C71),
                             calc1!Q$3+D71*calc1!$H$4,
                              calc1!$S$3-D71*calc1!$H$4),
           IF(modify!$B$3="s-shape, starting at front left corner",
                  IF(ISEVEN(C71),
                              calc1!$Q$3+D71*calc1!$H$4,
                              calc1!$S$3-D71*calc1!$H$4),
            IF(modify!$B$3="non alternating, starting at back left corner",
                  calc1!$Q$3+D71*calc1!$H$4,
            IF(modify!$B$3="non alternating, starting at front left corner",
                  calc1!$S$3-D71*calc1!$H$4,
      ""))))),"")</f>
        <v/>
      </c>
      <c r="G71" s="23" t="str">
        <f>IF(calc3!I71=TRUE,
      IF(
            calc3!B71&lt;=calc1!$E$3,
                  calc1!$N$6-initialize!$Q$2/(calc1!$E$3+1)*calc3!B71,
            IF(calc3!B71&lt;=calc1!$E$3+calc1!$E$4,
                  calc1!$N$6-initialize!$Q$2/(calc1!$E$4+1)*(calc3!B71-calc1!$E$3)-calc1!$E$2-initialize!$Q$2,
           IF(calc3!B71&lt;=calc1!$H$3,
                  calc1!$N$6-initialize!$Q$2/(calc1!$E$5+1)*(calc3!B71-calc1!$E$3-calc1!$E$4)-(calc1!$E$2+initialize!$Q$2)*2,""))),"")</f>
        <v/>
      </c>
      <c r="H71" s="69" t="str">
        <f>IF(AND(calc3!I71=TRUE,
                         ROUNDUP(calc3!A71/calc1!$N$3,0)&lt;=calc1!$O$3),
      calc1!$O$6-initialize!$Q$3,
      "")</f>
        <v/>
      </c>
      <c r="I71" s="23" t="str">
        <f>IF(AND(calc3!A71&gt;0,
                         calc3!A71&lt;=calc1!$H$2),
      IF(MOD(calc3!A71-1,modify!$B$6)=0,
            TRUE,
            FALSE),
      "")</f>
        <v/>
      </c>
      <c r="J71" s="69" t="str">
        <f>IF(I71=TRUE,
      IF(MOD(calc3!B71,modify!$K$2)=0,
            TRUE,
            FALSE),
      "")</f>
        <v/>
      </c>
      <c r="K71" s="20" t="str">
        <f>IF(I71=TRUE,
   "G0"&amp;
      " Z"&amp;calc1!$U$3&amp;
      " F"&amp; initialize!$W$3&amp;
      CHAR(10)&amp;
    "G0"&amp;
      " X"&amp;E71&amp;
      " Y"&amp;F71&amp;
      " F"&amp; initialize!$W$2&amp;
       REPT(CHAR(9),4)&amp;
       "; move to sample No. "&amp;A71&amp;
      CHAR(10)&amp;
   "G0"&amp;
      " Z"&amp;calc1!$T$3&amp;
      " F"&amp;initialize!$W$3,
 "")</f>
        <v/>
      </c>
      <c r="L71" s="71" t="str">
        <f>IF(calc3!I71=TRUE,
   "G0 "&amp;
      "Z"&amp;calc1!$U$3 &amp;
      " F"&amp;initialize!$W$3&amp;
      CHAR(10)&amp;
   "G0"&amp;
      " X"&amp;calc3!G71&amp;
      " Y"&amp;H71&amp;
      " F"&amp;initialize!$W$2&amp;
       REPT(CHAR(9),4)&amp;
       "; move to spot No."&amp;B71&amp;
      CHAR(10)&amp;
   "G0"&amp;
      " Z"&amp;calc1!$P$6+initialize!$Q$4&amp;
      " F"&amp;initialize!$W$3&amp;
       REPT(CHAR(9),5)&amp;
       "; decrease z-velocity for contact with TLC"&amp;
      CHAR(10)&amp;
   "G0"&amp;
      " Z"&amp;calc1!$P$6&amp;
      " F"&amp;initialize!$W$4,
  "")</f>
        <v/>
      </c>
      <c r="M71" s="20" t="str">
        <f>IF(AND(calc3!J71=TRUE,I72&lt;&gt;"", modify!$K$3&gt;0),
        "; cleaning process"&amp;
         CHAR(10)&amp;
         calc2!$C$8 &amp;
          REPT(
               CHAR(10)&amp;
               calc2!$C$8, modify!$K$3-1),
      "")</f>
        <v/>
      </c>
      <c r="N71" s="71" t="str">
        <f>IF(calc3!I71=TRUE,
      CHAR(10)&amp;
      "; Spot No."&amp;B71&amp;
      CHAR(10)&amp;
             IF(K71="", "", K71)&amp;                        REPLACE(N("rack"),1,1,"")&amp;CHAR(10)&amp;
             IF(calc2!$A$5="","",calc2!$A$5)&amp;        REPLACE(N("retraction"),1,1,"")&amp;CHAR(10)&amp;
             IF(L71="", "", L71)&amp;                           REPLACE(N("TLC"),1,1,"")&amp;CHAR(10)&amp;
             IF(calc2!$B$5="","",calc2!$B$5)&amp;         REPLACE(N("extrusion"),1,1,"")&amp;CHAR(10)&amp;
             IF(calc2!$C$5="","",calc2!$C$5)&amp;         REPLACE(N("waste"),1,1,"")&amp;CHAR(10)&amp;
             IF(M71="", "", M71)&amp;                          REPLACE(N("cleaning process"),1,1,""),
      "")</f>
        <v/>
      </c>
    </row>
    <row r="72" spans="1:14" ht="14.65" customHeight="1">
      <c r="A72" s="19">
        <v>71</v>
      </c>
      <c r="B72" s="69" t="str">
        <f>IF(calc3!I72=TRUE,
      COUNTIF(calc3!$I$2:I72,TRUE),
      "")</f>
        <v/>
      </c>
      <c r="C72" s="44" t="str">
        <f>IF(calc3!I72=TRUE,ROUNDUP(calc3!A72/calc1!$N$3,0),"")</f>
        <v/>
      </c>
      <c r="D72" s="69" t="str">
        <f>IF(calc3!I72=TRUE,MOD((calc3!A72-1),calc1!$N$3),"")</f>
        <v/>
      </c>
      <c r="E72" s="23" t="str">
        <f>IF(AND(calc3!I72=TRUE,
                         C72&lt;=calc1!$O$3),
      INT((calc3!A72-1)/calc1!$N$3)*calc1!$H$5+calc1!$P$3,
      "")</f>
        <v/>
      </c>
      <c r="F72" s="69" t="str">
        <f>IF(AND(calc3!I72=TRUE,
                        C72&lt;=calc1!$O$3),
      IF(
            calc1!$N$3=1,
                  calc1!$Q$3,
            IF(modify!$B$3="s-shape, starting at back left corner",
                  IF(ISODD(C72),
                             calc1!Q$3+D72*calc1!$H$4,
                              calc1!$S$3-D72*calc1!$H$4),
           IF(modify!$B$3="s-shape, starting at front left corner",
                  IF(ISEVEN(C72),
                              calc1!$Q$3+D72*calc1!$H$4,
                              calc1!$S$3-D72*calc1!$H$4),
            IF(modify!$B$3="non alternating, starting at back left corner",
                  calc1!$Q$3+D72*calc1!$H$4,
            IF(modify!$B$3="non alternating, starting at front left corner",
                  calc1!$S$3-D72*calc1!$H$4,
      ""))))),"")</f>
        <v/>
      </c>
      <c r="G72" s="23" t="str">
        <f>IF(calc3!I72=TRUE,
      IF(
            calc3!B72&lt;=calc1!$E$3,
                  calc1!$N$6-initialize!$Q$2/(calc1!$E$3+1)*calc3!B72,
            IF(calc3!B72&lt;=calc1!$E$3+calc1!$E$4,
                  calc1!$N$6-initialize!$Q$2/(calc1!$E$4+1)*(calc3!B72-calc1!$E$3)-calc1!$E$2-initialize!$Q$2,
           IF(calc3!B72&lt;=calc1!$H$3,
                  calc1!$N$6-initialize!$Q$2/(calc1!$E$5+1)*(calc3!B72-calc1!$E$3-calc1!$E$4)-(calc1!$E$2+initialize!$Q$2)*2,""))),"")</f>
        <v/>
      </c>
      <c r="H72" s="69" t="str">
        <f>IF(AND(calc3!I72=TRUE,
                         ROUNDUP(calc3!A72/calc1!$N$3,0)&lt;=calc1!$O$3),
      calc1!$O$6-initialize!$Q$3,
      "")</f>
        <v/>
      </c>
      <c r="I72" s="23" t="str">
        <f>IF(AND(calc3!A72&gt;0,
                         calc3!A72&lt;=calc1!$H$2),
      IF(MOD(calc3!A72-1,modify!$B$6)=0,
            TRUE,
            FALSE),
      "")</f>
        <v/>
      </c>
      <c r="J72" s="69" t="str">
        <f>IF(I72=TRUE,
      IF(MOD(calc3!B72,modify!$K$2)=0,
            TRUE,
            FALSE),
      "")</f>
        <v/>
      </c>
      <c r="K72" s="20" t="str">
        <f>IF(I72=TRUE,
   "G0"&amp;
      " Z"&amp;calc1!$U$3&amp;
      " F"&amp; initialize!$W$3&amp;
      CHAR(10)&amp;
    "G0"&amp;
      " X"&amp;E72&amp;
      " Y"&amp;F72&amp;
      " F"&amp; initialize!$W$2&amp;
       REPT(CHAR(9),4)&amp;
       "; move to sample No. "&amp;A72&amp;
      CHAR(10)&amp;
   "G0"&amp;
      " Z"&amp;calc1!$T$3&amp;
      " F"&amp;initialize!$W$3,
 "")</f>
        <v/>
      </c>
      <c r="L72" s="71" t="str">
        <f>IF(calc3!I72=TRUE,
   "G0 "&amp;
      "Z"&amp;calc1!$U$3 &amp;
      " F"&amp;initialize!$W$3&amp;
      CHAR(10)&amp;
   "G0"&amp;
      " X"&amp;calc3!G72&amp;
      " Y"&amp;H72&amp;
      " F"&amp;initialize!$W$2&amp;
       REPT(CHAR(9),4)&amp;
       "; move to spot No."&amp;B72&amp;
      CHAR(10)&amp;
   "G0"&amp;
      " Z"&amp;calc1!$P$6+initialize!$Q$4&amp;
      " F"&amp;initialize!$W$3&amp;
       REPT(CHAR(9),5)&amp;
       "; decrease z-velocity for contact with TLC"&amp;
      CHAR(10)&amp;
   "G0"&amp;
      " Z"&amp;calc1!$P$6&amp;
      " F"&amp;initialize!$W$4,
  "")</f>
        <v/>
      </c>
      <c r="M72" s="20" t="str">
        <f>IF(AND(calc3!J72=TRUE,I73&lt;&gt;"", modify!$K$3&gt;0),
        "; cleaning process"&amp;
         CHAR(10)&amp;
         calc2!$C$8 &amp;
          REPT(
               CHAR(10)&amp;
               calc2!$C$8, modify!$K$3-1),
      "")</f>
        <v/>
      </c>
      <c r="N72" s="71" t="str">
        <f>IF(calc3!I72=TRUE,
      CHAR(10)&amp;
      "; Spot No."&amp;B72&amp;
      CHAR(10)&amp;
             IF(K72="", "", K72)&amp;                        REPLACE(N("rack"),1,1,"")&amp;CHAR(10)&amp;
             IF(calc2!$A$5="","",calc2!$A$5)&amp;        REPLACE(N("retraction"),1,1,"")&amp;CHAR(10)&amp;
             IF(L72="", "", L72)&amp;                           REPLACE(N("TLC"),1,1,"")&amp;CHAR(10)&amp;
             IF(calc2!$B$5="","",calc2!$B$5)&amp;         REPLACE(N("extrusion"),1,1,"")&amp;CHAR(10)&amp;
             IF(calc2!$C$5="","",calc2!$C$5)&amp;         REPLACE(N("waste"),1,1,"")&amp;CHAR(10)&amp;
             IF(M72="", "", M72)&amp;                          REPLACE(N("cleaning process"),1,1,""),
      "")</f>
        <v/>
      </c>
    </row>
    <row r="73" spans="1:14" ht="14.65" customHeight="1">
      <c r="A73" s="19">
        <v>72</v>
      </c>
      <c r="B73" s="69" t="str">
        <f>IF(calc3!I73=TRUE,
      COUNTIF(calc3!$I$2:I73,TRUE),
      "")</f>
        <v/>
      </c>
      <c r="C73" s="44" t="str">
        <f>IF(calc3!I73=TRUE,ROUNDUP(calc3!A73/calc1!$N$3,0),"")</f>
        <v/>
      </c>
      <c r="D73" s="69" t="str">
        <f>IF(calc3!I73=TRUE,MOD((calc3!A73-1),calc1!$N$3),"")</f>
        <v/>
      </c>
      <c r="E73" s="23" t="str">
        <f>IF(AND(calc3!I73=TRUE,
                         C73&lt;=calc1!$O$3),
      INT((calc3!A73-1)/calc1!$N$3)*calc1!$H$5+calc1!$P$3,
      "")</f>
        <v/>
      </c>
      <c r="F73" s="69" t="str">
        <f>IF(AND(calc3!I73=TRUE,
                        C73&lt;=calc1!$O$3),
      IF(
            calc1!$N$3=1,
                  calc1!$Q$3,
            IF(modify!$B$3="s-shape, starting at back left corner",
                  IF(ISODD(C73),
                             calc1!Q$3+D73*calc1!$H$4,
                              calc1!$S$3-D73*calc1!$H$4),
           IF(modify!$B$3="s-shape, starting at front left corner",
                  IF(ISEVEN(C73),
                              calc1!$Q$3+D73*calc1!$H$4,
                              calc1!$S$3-D73*calc1!$H$4),
            IF(modify!$B$3="non alternating, starting at back left corner",
                  calc1!$Q$3+D73*calc1!$H$4,
            IF(modify!$B$3="non alternating, starting at front left corner",
                  calc1!$S$3-D73*calc1!$H$4,
      ""))))),"")</f>
        <v/>
      </c>
      <c r="G73" s="23" t="str">
        <f>IF(calc3!I73=TRUE,
      IF(
            calc3!B73&lt;=calc1!$E$3,
                  calc1!$N$6-initialize!$Q$2/(calc1!$E$3+1)*calc3!B73,
            IF(calc3!B73&lt;=calc1!$E$3+calc1!$E$4,
                  calc1!$N$6-initialize!$Q$2/(calc1!$E$4+1)*(calc3!B73-calc1!$E$3)-calc1!$E$2-initialize!$Q$2,
           IF(calc3!B73&lt;=calc1!$H$3,
                  calc1!$N$6-initialize!$Q$2/(calc1!$E$5+1)*(calc3!B73-calc1!$E$3-calc1!$E$4)-(calc1!$E$2+initialize!$Q$2)*2,""))),"")</f>
        <v/>
      </c>
      <c r="H73" s="69" t="str">
        <f>IF(AND(calc3!I73=TRUE,
                         ROUNDUP(calc3!A73/calc1!$N$3,0)&lt;=calc1!$O$3),
      calc1!$O$6-initialize!$Q$3,
      "")</f>
        <v/>
      </c>
      <c r="I73" s="23" t="str">
        <f>IF(AND(calc3!A73&gt;0,
                         calc3!A73&lt;=calc1!$H$2),
      IF(MOD(calc3!A73-1,modify!$B$6)=0,
            TRUE,
            FALSE),
      "")</f>
        <v/>
      </c>
      <c r="J73" s="69" t="str">
        <f>IF(I73=TRUE,
      IF(MOD(calc3!B73,modify!$K$2)=0,
            TRUE,
            FALSE),
      "")</f>
        <v/>
      </c>
      <c r="K73" s="20" t="str">
        <f>IF(I73=TRUE,
   "G0"&amp;
      " Z"&amp;calc1!$U$3&amp;
      " F"&amp; initialize!$W$3&amp;
      CHAR(10)&amp;
    "G0"&amp;
      " X"&amp;E73&amp;
      " Y"&amp;F73&amp;
      " F"&amp; initialize!$W$2&amp;
       REPT(CHAR(9),4)&amp;
       "; move to sample No. "&amp;A73&amp;
      CHAR(10)&amp;
   "G0"&amp;
      " Z"&amp;calc1!$T$3&amp;
      " F"&amp;initialize!$W$3,
 "")</f>
        <v/>
      </c>
      <c r="L73" s="71" t="str">
        <f>IF(calc3!I73=TRUE,
   "G0 "&amp;
      "Z"&amp;calc1!$U$3 &amp;
      " F"&amp;initialize!$W$3&amp;
      CHAR(10)&amp;
   "G0"&amp;
      " X"&amp;calc3!G73&amp;
      " Y"&amp;H73&amp;
      " F"&amp;initialize!$W$2&amp;
       REPT(CHAR(9),4)&amp;
       "; move to spot No."&amp;B73&amp;
      CHAR(10)&amp;
   "G0"&amp;
      " Z"&amp;calc1!$P$6+initialize!$Q$4&amp;
      " F"&amp;initialize!$W$3&amp;
       REPT(CHAR(9),5)&amp;
       "; decrease z-velocity for contact with TLC"&amp;
      CHAR(10)&amp;
   "G0"&amp;
      " Z"&amp;calc1!$P$6&amp;
      " F"&amp;initialize!$W$4,
  "")</f>
        <v/>
      </c>
      <c r="M73" s="20" t="str">
        <f>IF(AND(calc3!J73=TRUE,I74&lt;&gt;"", modify!$K$3&gt;0),
        "; cleaning process"&amp;
         CHAR(10)&amp;
         calc2!$C$8 &amp;
          REPT(
               CHAR(10)&amp;
               calc2!$C$8, modify!$K$3-1),
      "")</f>
        <v/>
      </c>
      <c r="N73" s="71" t="str">
        <f>IF(calc3!I73=TRUE,
      CHAR(10)&amp;
      "; Spot No."&amp;B73&amp;
      CHAR(10)&amp;
             IF(K73="", "", K73)&amp;                        REPLACE(N("rack"),1,1,"")&amp;CHAR(10)&amp;
             IF(calc2!$A$5="","",calc2!$A$5)&amp;        REPLACE(N("retraction"),1,1,"")&amp;CHAR(10)&amp;
             IF(L73="", "", L73)&amp;                           REPLACE(N("TLC"),1,1,"")&amp;CHAR(10)&amp;
             IF(calc2!$B$5="","",calc2!$B$5)&amp;         REPLACE(N("extrusion"),1,1,"")&amp;CHAR(10)&amp;
             IF(calc2!$C$5="","",calc2!$C$5)&amp;         REPLACE(N("waste"),1,1,"")&amp;CHAR(10)&amp;
             IF(M73="", "", M73)&amp;                          REPLACE(N("cleaning process"),1,1,""),
      "")</f>
        <v/>
      </c>
    </row>
    <row r="74" spans="1:14" ht="14.65" customHeight="1">
      <c r="A74" s="19">
        <v>73</v>
      </c>
      <c r="B74" s="69" t="str">
        <f>IF(calc3!I74=TRUE,
      COUNTIF(calc3!$I$2:I74,TRUE),
      "")</f>
        <v/>
      </c>
      <c r="C74" s="44" t="str">
        <f>IF(calc3!I74=TRUE,ROUNDUP(calc3!A74/calc1!$N$3,0),"")</f>
        <v/>
      </c>
      <c r="D74" s="69" t="str">
        <f>IF(calc3!I74=TRUE,MOD((calc3!A74-1),calc1!$N$3),"")</f>
        <v/>
      </c>
      <c r="E74" s="23" t="str">
        <f>IF(AND(calc3!I74=TRUE,
                         C74&lt;=calc1!$O$3),
      INT((calc3!A74-1)/calc1!$N$3)*calc1!$H$5+calc1!$P$3,
      "")</f>
        <v/>
      </c>
      <c r="F74" s="69" t="str">
        <f>IF(AND(calc3!I74=TRUE,
                        C74&lt;=calc1!$O$3),
      IF(
            calc1!$N$3=1,
                  calc1!$Q$3,
            IF(modify!$B$3="s-shape, starting at back left corner",
                  IF(ISODD(C74),
                             calc1!Q$3+D74*calc1!$H$4,
                              calc1!$S$3-D74*calc1!$H$4),
           IF(modify!$B$3="s-shape, starting at front left corner",
                  IF(ISEVEN(C74),
                              calc1!$Q$3+D74*calc1!$H$4,
                              calc1!$S$3-D74*calc1!$H$4),
            IF(modify!$B$3="non alternating, starting at back left corner",
                  calc1!$Q$3+D74*calc1!$H$4,
            IF(modify!$B$3="non alternating, starting at front left corner",
                  calc1!$S$3-D74*calc1!$H$4,
      ""))))),"")</f>
        <v/>
      </c>
      <c r="G74" s="23" t="str">
        <f>IF(calc3!I74=TRUE,
      IF(
            calc3!B74&lt;=calc1!$E$3,
                  calc1!$N$6-initialize!$Q$2/(calc1!$E$3+1)*calc3!B74,
            IF(calc3!B74&lt;=calc1!$E$3+calc1!$E$4,
                  calc1!$N$6-initialize!$Q$2/(calc1!$E$4+1)*(calc3!B74-calc1!$E$3)-calc1!$E$2-initialize!$Q$2,
           IF(calc3!B74&lt;=calc1!$H$3,
                  calc1!$N$6-initialize!$Q$2/(calc1!$E$5+1)*(calc3!B74-calc1!$E$3-calc1!$E$4)-(calc1!$E$2+initialize!$Q$2)*2,""))),"")</f>
        <v/>
      </c>
      <c r="H74" s="69" t="str">
        <f>IF(AND(calc3!I74=TRUE,
                         ROUNDUP(calc3!A74/calc1!$N$3,0)&lt;=calc1!$O$3),
      calc1!$O$6-initialize!$Q$3,
      "")</f>
        <v/>
      </c>
      <c r="I74" s="23" t="str">
        <f>IF(AND(calc3!A74&gt;0,
                         calc3!A74&lt;=calc1!$H$2),
      IF(MOD(calc3!A74-1,modify!$B$6)=0,
            TRUE,
            FALSE),
      "")</f>
        <v/>
      </c>
      <c r="J74" s="69" t="str">
        <f>IF(I74=TRUE,
      IF(MOD(calc3!B74,modify!$K$2)=0,
            TRUE,
            FALSE),
      "")</f>
        <v/>
      </c>
      <c r="K74" s="20" t="str">
        <f>IF(I74=TRUE,
   "G0"&amp;
      " Z"&amp;calc1!$U$3&amp;
      " F"&amp; initialize!$W$3&amp;
      CHAR(10)&amp;
    "G0"&amp;
      " X"&amp;E74&amp;
      " Y"&amp;F74&amp;
      " F"&amp; initialize!$W$2&amp;
       REPT(CHAR(9),4)&amp;
       "; move to sample No. "&amp;A74&amp;
      CHAR(10)&amp;
   "G0"&amp;
      " Z"&amp;calc1!$T$3&amp;
      " F"&amp;initialize!$W$3,
 "")</f>
        <v/>
      </c>
      <c r="L74" s="71" t="str">
        <f>IF(calc3!I74=TRUE,
   "G0 "&amp;
      "Z"&amp;calc1!$U$3 &amp;
      " F"&amp;initialize!$W$3&amp;
      CHAR(10)&amp;
   "G0"&amp;
      " X"&amp;calc3!G74&amp;
      " Y"&amp;H74&amp;
      " F"&amp;initialize!$W$2&amp;
       REPT(CHAR(9),4)&amp;
       "; move to spot No."&amp;B74&amp;
      CHAR(10)&amp;
   "G0"&amp;
      " Z"&amp;calc1!$P$6+initialize!$Q$4&amp;
      " F"&amp;initialize!$W$3&amp;
       REPT(CHAR(9),5)&amp;
       "; decrease z-velocity for contact with TLC"&amp;
      CHAR(10)&amp;
   "G0"&amp;
      " Z"&amp;calc1!$P$6&amp;
      " F"&amp;initialize!$W$4,
  "")</f>
        <v/>
      </c>
      <c r="M74" s="20" t="str">
        <f>IF(AND(calc3!J74=TRUE,I75&lt;&gt;"", modify!$K$3&gt;0),
        "; cleaning process"&amp;
         CHAR(10)&amp;
         calc2!$C$8 &amp;
          REPT(
               CHAR(10)&amp;
               calc2!$C$8, modify!$K$3-1),
      "")</f>
        <v/>
      </c>
      <c r="N74" s="71" t="str">
        <f>IF(calc3!I74=TRUE,
      CHAR(10)&amp;
      "; Spot No."&amp;B74&amp;
      CHAR(10)&amp;
             IF(K74="", "", K74)&amp;                        REPLACE(N("rack"),1,1,"")&amp;CHAR(10)&amp;
             IF(calc2!$A$5="","",calc2!$A$5)&amp;        REPLACE(N("retraction"),1,1,"")&amp;CHAR(10)&amp;
             IF(L74="", "", L74)&amp;                           REPLACE(N("TLC"),1,1,"")&amp;CHAR(10)&amp;
             IF(calc2!$B$5="","",calc2!$B$5)&amp;         REPLACE(N("extrusion"),1,1,"")&amp;CHAR(10)&amp;
             IF(calc2!$C$5="","",calc2!$C$5)&amp;         REPLACE(N("waste"),1,1,"")&amp;CHAR(10)&amp;
             IF(M74="", "", M74)&amp;                          REPLACE(N("cleaning process"),1,1,""),
      "")</f>
        <v/>
      </c>
    </row>
    <row r="75" spans="1:14" ht="14.65" customHeight="1">
      <c r="A75" s="19">
        <v>74</v>
      </c>
      <c r="B75" s="69" t="str">
        <f>IF(calc3!I75=TRUE,
      COUNTIF(calc3!$I$2:I75,TRUE),
      "")</f>
        <v/>
      </c>
      <c r="C75" s="44" t="str">
        <f>IF(calc3!I75=TRUE,ROUNDUP(calc3!A75/calc1!$N$3,0),"")</f>
        <v/>
      </c>
      <c r="D75" s="69" t="str">
        <f>IF(calc3!I75=TRUE,MOD((calc3!A75-1),calc1!$N$3),"")</f>
        <v/>
      </c>
      <c r="E75" s="23" t="str">
        <f>IF(AND(calc3!I75=TRUE,
                         C75&lt;=calc1!$O$3),
      INT((calc3!A75-1)/calc1!$N$3)*calc1!$H$5+calc1!$P$3,
      "")</f>
        <v/>
      </c>
      <c r="F75" s="69" t="str">
        <f>IF(AND(calc3!I75=TRUE,
                        C75&lt;=calc1!$O$3),
      IF(
            calc1!$N$3=1,
                  calc1!$Q$3,
            IF(modify!$B$3="s-shape, starting at back left corner",
                  IF(ISODD(C75),
                             calc1!Q$3+D75*calc1!$H$4,
                              calc1!$S$3-D75*calc1!$H$4),
           IF(modify!$B$3="s-shape, starting at front left corner",
                  IF(ISEVEN(C75),
                              calc1!$Q$3+D75*calc1!$H$4,
                              calc1!$S$3-D75*calc1!$H$4),
            IF(modify!$B$3="non alternating, starting at back left corner",
                  calc1!$Q$3+D75*calc1!$H$4,
            IF(modify!$B$3="non alternating, starting at front left corner",
                  calc1!$S$3-D75*calc1!$H$4,
      ""))))),"")</f>
        <v/>
      </c>
      <c r="G75" s="23" t="str">
        <f>IF(calc3!I75=TRUE,
      IF(
            calc3!B75&lt;=calc1!$E$3,
                  calc1!$N$6-initialize!$Q$2/(calc1!$E$3+1)*calc3!B75,
            IF(calc3!B75&lt;=calc1!$E$3+calc1!$E$4,
                  calc1!$N$6-initialize!$Q$2/(calc1!$E$4+1)*(calc3!B75-calc1!$E$3)-calc1!$E$2-initialize!$Q$2,
           IF(calc3!B75&lt;=calc1!$H$3,
                  calc1!$N$6-initialize!$Q$2/(calc1!$E$5+1)*(calc3!B75-calc1!$E$3-calc1!$E$4)-(calc1!$E$2+initialize!$Q$2)*2,""))),"")</f>
        <v/>
      </c>
      <c r="H75" s="69" t="str">
        <f>IF(AND(calc3!I75=TRUE,
                         ROUNDUP(calc3!A75/calc1!$N$3,0)&lt;=calc1!$O$3),
      calc1!$O$6-initialize!$Q$3,
      "")</f>
        <v/>
      </c>
      <c r="I75" s="23" t="str">
        <f>IF(AND(calc3!A75&gt;0,
                         calc3!A75&lt;=calc1!$H$2),
      IF(MOD(calc3!A75-1,modify!$B$6)=0,
            TRUE,
            FALSE),
      "")</f>
        <v/>
      </c>
      <c r="J75" s="69" t="str">
        <f>IF(I75=TRUE,
      IF(MOD(calc3!B75,modify!$K$2)=0,
            TRUE,
            FALSE),
      "")</f>
        <v/>
      </c>
      <c r="K75" s="20" t="str">
        <f>IF(I75=TRUE,
   "G0"&amp;
      " Z"&amp;calc1!$U$3&amp;
      " F"&amp; initialize!$W$3&amp;
      CHAR(10)&amp;
    "G0"&amp;
      " X"&amp;E75&amp;
      " Y"&amp;F75&amp;
      " F"&amp; initialize!$W$2&amp;
       REPT(CHAR(9),4)&amp;
       "; move to sample No. "&amp;A75&amp;
      CHAR(10)&amp;
   "G0"&amp;
      " Z"&amp;calc1!$T$3&amp;
      " F"&amp;initialize!$W$3,
 "")</f>
        <v/>
      </c>
      <c r="L75" s="71" t="str">
        <f>IF(calc3!I75=TRUE,
   "G0 "&amp;
      "Z"&amp;calc1!$U$3 &amp;
      " F"&amp;initialize!$W$3&amp;
      CHAR(10)&amp;
   "G0"&amp;
      " X"&amp;calc3!G75&amp;
      " Y"&amp;H75&amp;
      " F"&amp;initialize!$W$2&amp;
       REPT(CHAR(9),4)&amp;
       "; move to spot No."&amp;B75&amp;
      CHAR(10)&amp;
   "G0"&amp;
      " Z"&amp;calc1!$P$6+initialize!$Q$4&amp;
      " F"&amp;initialize!$W$3&amp;
       REPT(CHAR(9),5)&amp;
       "; decrease z-velocity for contact with TLC"&amp;
      CHAR(10)&amp;
   "G0"&amp;
      " Z"&amp;calc1!$P$6&amp;
      " F"&amp;initialize!$W$4,
  "")</f>
        <v/>
      </c>
      <c r="M75" s="20" t="str">
        <f>IF(AND(calc3!J75=TRUE,I76&lt;&gt;"", modify!$K$3&gt;0),
        "; cleaning process"&amp;
         CHAR(10)&amp;
         calc2!$C$8 &amp;
          REPT(
               CHAR(10)&amp;
               calc2!$C$8, modify!$K$3-1),
      "")</f>
        <v/>
      </c>
      <c r="N75" s="71" t="str">
        <f>IF(calc3!I75=TRUE,
      CHAR(10)&amp;
      "; Spot No."&amp;B75&amp;
      CHAR(10)&amp;
             IF(K75="", "", K75)&amp;                        REPLACE(N("rack"),1,1,"")&amp;CHAR(10)&amp;
             IF(calc2!$A$5="","",calc2!$A$5)&amp;        REPLACE(N("retraction"),1,1,"")&amp;CHAR(10)&amp;
             IF(L75="", "", L75)&amp;                           REPLACE(N("TLC"),1,1,"")&amp;CHAR(10)&amp;
             IF(calc2!$B$5="","",calc2!$B$5)&amp;         REPLACE(N("extrusion"),1,1,"")&amp;CHAR(10)&amp;
             IF(calc2!$C$5="","",calc2!$C$5)&amp;         REPLACE(N("waste"),1,1,"")&amp;CHAR(10)&amp;
             IF(M75="", "", M75)&amp;                          REPLACE(N("cleaning process"),1,1,""),
      "")</f>
        <v/>
      </c>
    </row>
    <row r="76" spans="1:14" ht="14.65" customHeight="1">
      <c r="A76" s="19">
        <v>75</v>
      </c>
      <c r="B76" s="69" t="str">
        <f>IF(calc3!I76=TRUE,
      COUNTIF(calc3!$I$2:I76,TRUE),
      "")</f>
        <v/>
      </c>
      <c r="C76" s="44" t="str">
        <f>IF(calc3!I76=TRUE,ROUNDUP(calc3!A76/calc1!$N$3,0),"")</f>
        <v/>
      </c>
      <c r="D76" s="69" t="str">
        <f>IF(calc3!I76=TRUE,MOD((calc3!A76-1),calc1!$N$3),"")</f>
        <v/>
      </c>
      <c r="E76" s="23" t="str">
        <f>IF(AND(calc3!I76=TRUE,
                         C76&lt;=calc1!$O$3),
      INT((calc3!A76-1)/calc1!$N$3)*calc1!$H$5+calc1!$P$3,
      "")</f>
        <v/>
      </c>
      <c r="F76" s="69" t="str">
        <f>IF(AND(calc3!I76=TRUE,
                        C76&lt;=calc1!$O$3),
      IF(
            calc1!$N$3=1,
                  calc1!$Q$3,
            IF(modify!$B$3="s-shape, starting at back left corner",
                  IF(ISODD(C76),
                             calc1!Q$3+D76*calc1!$H$4,
                              calc1!$S$3-D76*calc1!$H$4),
           IF(modify!$B$3="s-shape, starting at front left corner",
                  IF(ISEVEN(C76),
                              calc1!$Q$3+D76*calc1!$H$4,
                              calc1!$S$3-D76*calc1!$H$4),
            IF(modify!$B$3="non alternating, starting at back left corner",
                  calc1!$Q$3+D76*calc1!$H$4,
            IF(modify!$B$3="non alternating, starting at front left corner",
                  calc1!$S$3-D76*calc1!$H$4,
      ""))))),"")</f>
        <v/>
      </c>
      <c r="G76" s="23" t="str">
        <f>IF(calc3!I76=TRUE,
      IF(
            calc3!B76&lt;=calc1!$E$3,
                  calc1!$N$6-initialize!$Q$2/(calc1!$E$3+1)*calc3!B76,
            IF(calc3!B76&lt;=calc1!$E$3+calc1!$E$4,
                  calc1!$N$6-initialize!$Q$2/(calc1!$E$4+1)*(calc3!B76-calc1!$E$3)-calc1!$E$2-initialize!$Q$2,
           IF(calc3!B76&lt;=calc1!$H$3,
                  calc1!$N$6-initialize!$Q$2/(calc1!$E$5+1)*(calc3!B76-calc1!$E$3-calc1!$E$4)-(calc1!$E$2+initialize!$Q$2)*2,""))),"")</f>
        <v/>
      </c>
      <c r="H76" s="69" t="str">
        <f>IF(AND(calc3!I76=TRUE,
                         ROUNDUP(calc3!A76/calc1!$N$3,0)&lt;=calc1!$O$3),
      calc1!$O$6-initialize!$Q$3,
      "")</f>
        <v/>
      </c>
      <c r="I76" s="23" t="str">
        <f>IF(AND(calc3!A76&gt;0,
                         calc3!A76&lt;=calc1!$H$2),
      IF(MOD(calc3!A76-1,modify!$B$6)=0,
            TRUE,
            FALSE),
      "")</f>
        <v/>
      </c>
      <c r="J76" s="69" t="str">
        <f>IF(I76=TRUE,
      IF(MOD(calc3!B76,modify!$K$2)=0,
            TRUE,
            FALSE),
      "")</f>
        <v/>
      </c>
      <c r="K76" s="20" t="str">
        <f>IF(I76=TRUE,
   "G0"&amp;
      " Z"&amp;calc1!$U$3&amp;
      " F"&amp; initialize!$W$3&amp;
      CHAR(10)&amp;
    "G0"&amp;
      " X"&amp;E76&amp;
      " Y"&amp;F76&amp;
      " F"&amp; initialize!$W$2&amp;
       REPT(CHAR(9),4)&amp;
       "; move to sample No. "&amp;A76&amp;
      CHAR(10)&amp;
   "G0"&amp;
      " Z"&amp;calc1!$T$3&amp;
      " F"&amp;initialize!$W$3,
 "")</f>
        <v/>
      </c>
      <c r="L76" s="71" t="str">
        <f>IF(calc3!I76=TRUE,
   "G0 "&amp;
      "Z"&amp;calc1!$U$3 &amp;
      " F"&amp;initialize!$W$3&amp;
      CHAR(10)&amp;
   "G0"&amp;
      " X"&amp;calc3!G76&amp;
      " Y"&amp;H76&amp;
      " F"&amp;initialize!$W$2&amp;
       REPT(CHAR(9),4)&amp;
       "; move to spot No."&amp;B76&amp;
      CHAR(10)&amp;
   "G0"&amp;
      " Z"&amp;calc1!$P$6+initialize!$Q$4&amp;
      " F"&amp;initialize!$W$3&amp;
       REPT(CHAR(9),5)&amp;
       "; decrease z-velocity for contact with TLC"&amp;
      CHAR(10)&amp;
   "G0"&amp;
      " Z"&amp;calc1!$P$6&amp;
      " F"&amp;initialize!$W$4,
  "")</f>
        <v/>
      </c>
      <c r="M76" s="20" t="str">
        <f>IF(AND(calc3!J76=TRUE,I77&lt;&gt;"", modify!$K$3&gt;0),
        "; cleaning process"&amp;
         CHAR(10)&amp;
         calc2!$C$8 &amp;
          REPT(
               CHAR(10)&amp;
               calc2!$C$8, modify!$K$3-1),
      "")</f>
        <v/>
      </c>
      <c r="N76" s="71" t="str">
        <f>IF(calc3!I76=TRUE,
      CHAR(10)&amp;
      "; Spot No."&amp;B76&amp;
      CHAR(10)&amp;
             IF(K76="", "", K76)&amp;                        REPLACE(N("rack"),1,1,"")&amp;CHAR(10)&amp;
             IF(calc2!$A$5="","",calc2!$A$5)&amp;        REPLACE(N("retraction"),1,1,"")&amp;CHAR(10)&amp;
             IF(L76="", "", L76)&amp;                           REPLACE(N("TLC"),1,1,"")&amp;CHAR(10)&amp;
             IF(calc2!$B$5="","",calc2!$B$5)&amp;         REPLACE(N("extrusion"),1,1,"")&amp;CHAR(10)&amp;
             IF(calc2!$C$5="","",calc2!$C$5)&amp;         REPLACE(N("waste"),1,1,"")&amp;CHAR(10)&amp;
             IF(M76="", "", M76)&amp;                          REPLACE(N("cleaning process"),1,1,""),
      "")</f>
        <v/>
      </c>
    </row>
    <row r="77" spans="1:14" ht="14.65" customHeight="1">
      <c r="A77" s="19">
        <v>76</v>
      </c>
      <c r="B77" s="69" t="str">
        <f>IF(calc3!I77=TRUE,
      COUNTIF(calc3!$I$2:I77,TRUE),
      "")</f>
        <v/>
      </c>
      <c r="C77" s="44" t="str">
        <f>IF(calc3!I77=TRUE,ROUNDUP(calc3!A77/calc1!$N$3,0),"")</f>
        <v/>
      </c>
      <c r="D77" s="69" t="str">
        <f>IF(calc3!I77=TRUE,MOD((calc3!A77-1),calc1!$N$3),"")</f>
        <v/>
      </c>
      <c r="E77" s="23" t="str">
        <f>IF(AND(calc3!I77=TRUE,
                         C77&lt;=calc1!$O$3),
      INT((calc3!A77-1)/calc1!$N$3)*calc1!$H$5+calc1!$P$3,
      "")</f>
        <v/>
      </c>
      <c r="F77" s="69" t="str">
        <f>IF(AND(calc3!I77=TRUE,
                        C77&lt;=calc1!$O$3),
      IF(
            calc1!$N$3=1,
                  calc1!$Q$3,
            IF(modify!$B$3="s-shape, starting at back left corner",
                  IF(ISODD(C77),
                             calc1!Q$3+D77*calc1!$H$4,
                              calc1!$S$3-D77*calc1!$H$4),
           IF(modify!$B$3="s-shape, starting at front left corner",
                  IF(ISEVEN(C77),
                              calc1!$Q$3+D77*calc1!$H$4,
                              calc1!$S$3-D77*calc1!$H$4),
            IF(modify!$B$3="non alternating, starting at back left corner",
                  calc1!$Q$3+D77*calc1!$H$4,
            IF(modify!$B$3="non alternating, starting at front left corner",
                  calc1!$S$3-D77*calc1!$H$4,
      ""))))),"")</f>
        <v/>
      </c>
      <c r="G77" s="23" t="str">
        <f>IF(calc3!I77=TRUE,
      IF(
            calc3!B77&lt;=calc1!$E$3,
                  calc1!$N$6-initialize!$Q$2/(calc1!$E$3+1)*calc3!B77,
            IF(calc3!B77&lt;=calc1!$E$3+calc1!$E$4,
                  calc1!$N$6-initialize!$Q$2/(calc1!$E$4+1)*(calc3!B77-calc1!$E$3)-calc1!$E$2-initialize!$Q$2,
           IF(calc3!B77&lt;=calc1!$H$3,
                  calc1!$N$6-initialize!$Q$2/(calc1!$E$5+1)*(calc3!B77-calc1!$E$3-calc1!$E$4)-(calc1!$E$2+initialize!$Q$2)*2,""))),"")</f>
        <v/>
      </c>
      <c r="H77" s="69" t="str">
        <f>IF(AND(calc3!I77=TRUE,
                         ROUNDUP(calc3!A77/calc1!$N$3,0)&lt;=calc1!$O$3),
      calc1!$O$6-initialize!$Q$3,
      "")</f>
        <v/>
      </c>
      <c r="I77" s="23" t="str">
        <f>IF(AND(calc3!A77&gt;0,
                         calc3!A77&lt;=calc1!$H$2),
      IF(MOD(calc3!A77-1,modify!$B$6)=0,
            TRUE,
            FALSE),
      "")</f>
        <v/>
      </c>
      <c r="J77" s="69" t="str">
        <f>IF(I77=TRUE,
      IF(MOD(calc3!B77,modify!$K$2)=0,
            TRUE,
            FALSE),
      "")</f>
        <v/>
      </c>
      <c r="K77" s="20" t="str">
        <f>IF(I77=TRUE,
   "G0"&amp;
      " Z"&amp;calc1!$U$3&amp;
      " F"&amp; initialize!$W$3&amp;
      CHAR(10)&amp;
    "G0"&amp;
      " X"&amp;E77&amp;
      " Y"&amp;F77&amp;
      " F"&amp; initialize!$W$2&amp;
       REPT(CHAR(9),4)&amp;
       "; move to sample No. "&amp;A77&amp;
      CHAR(10)&amp;
   "G0"&amp;
      " Z"&amp;calc1!$T$3&amp;
      " F"&amp;initialize!$W$3,
 "")</f>
        <v/>
      </c>
      <c r="L77" s="71" t="str">
        <f>IF(calc3!I77=TRUE,
   "G0 "&amp;
      "Z"&amp;calc1!$U$3 &amp;
      " F"&amp;initialize!$W$3&amp;
      CHAR(10)&amp;
   "G0"&amp;
      " X"&amp;calc3!G77&amp;
      " Y"&amp;H77&amp;
      " F"&amp;initialize!$W$2&amp;
       REPT(CHAR(9),4)&amp;
       "; move to spot No."&amp;B77&amp;
      CHAR(10)&amp;
   "G0"&amp;
      " Z"&amp;calc1!$P$6+initialize!$Q$4&amp;
      " F"&amp;initialize!$W$3&amp;
       REPT(CHAR(9),5)&amp;
       "; decrease z-velocity for contact with TLC"&amp;
      CHAR(10)&amp;
   "G0"&amp;
      " Z"&amp;calc1!$P$6&amp;
      " F"&amp;initialize!$W$4,
  "")</f>
        <v/>
      </c>
      <c r="M77" s="20" t="str">
        <f>IF(AND(calc3!J77=TRUE,I78&lt;&gt;"", modify!$K$3&gt;0),
        "; cleaning process"&amp;
         CHAR(10)&amp;
         calc2!$C$8 &amp;
          REPT(
               CHAR(10)&amp;
               calc2!$C$8, modify!$K$3-1),
      "")</f>
        <v/>
      </c>
      <c r="N77" s="71" t="str">
        <f>IF(calc3!I77=TRUE,
      CHAR(10)&amp;
      "; Spot No."&amp;B77&amp;
      CHAR(10)&amp;
             IF(K77="", "", K77)&amp;                        REPLACE(N("rack"),1,1,"")&amp;CHAR(10)&amp;
             IF(calc2!$A$5="","",calc2!$A$5)&amp;        REPLACE(N("retraction"),1,1,"")&amp;CHAR(10)&amp;
             IF(L77="", "", L77)&amp;                           REPLACE(N("TLC"),1,1,"")&amp;CHAR(10)&amp;
             IF(calc2!$B$5="","",calc2!$B$5)&amp;         REPLACE(N("extrusion"),1,1,"")&amp;CHAR(10)&amp;
             IF(calc2!$C$5="","",calc2!$C$5)&amp;         REPLACE(N("waste"),1,1,"")&amp;CHAR(10)&amp;
             IF(M77="", "", M77)&amp;                          REPLACE(N("cleaning process"),1,1,""),
      "")</f>
        <v/>
      </c>
    </row>
    <row r="78" spans="1:14" ht="14.65" customHeight="1">
      <c r="A78" s="19">
        <v>77</v>
      </c>
      <c r="B78" s="69" t="str">
        <f>IF(calc3!I78=TRUE,
      COUNTIF(calc3!$I$2:I78,TRUE),
      "")</f>
        <v/>
      </c>
      <c r="C78" s="44" t="str">
        <f>IF(calc3!I78=TRUE,ROUNDUP(calc3!A78/calc1!$N$3,0),"")</f>
        <v/>
      </c>
      <c r="D78" s="69" t="str">
        <f>IF(calc3!I78=TRUE,MOD((calc3!A78-1),calc1!$N$3),"")</f>
        <v/>
      </c>
      <c r="E78" s="23" t="str">
        <f>IF(AND(calc3!I78=TRUE,
                         C78&lt;=calc1!$O$3),
      INT((calc3!A78-1)/calc1!$N$3)*calc1!$H$5+calc1!$P$3,
      "")</f>
        <v/>
      </c>
      <c r="F78" s="69" t="str">
        <f>IF(AND(calc3!I78=TRUE,
                        C78&lt;=calc1!$O$3),
      IF(
            calc1!$N$3=1,
                  calc1!$Q$3,
            IF(modify!$B$3="s-shape, starting at back left corner",
                  IF(ISODD(C78),
                             calc1!Q$3+D78*calc1!$H$4,
                              calc1!$S$3-D78*calc1!$H$4),
           IF(modify!$B$3="s-shape, starting at front left corner",
                  IF(ISEVEN(C78),
                              calc1!$Q$3+D78*calc1!$H$4,
                              calc1!$S$3-D78*calc1!$H$4),
            IF(modify!$B$3="non alternating, starting at back left corner",
                  calc1!$Q$3+D78*calc1!$H$4,
            IF(modify!$B$3="non alternating, starting at front left corner",
                  calc1!$S$3-D78*calc1!$H$4,
      ""))))),"")</f>
        <v/>
      </c>
      <c r="G78" s="23" t="str">
        <f>IF(calc3!I78=TRUE,
      IF(
            calc3!B78&lt;=calc1!$E$3,
                  calc1!$N$6-initialize!$Q$2/(calc1!$E$3+1)*calc3!B78,
            IF(calc3!B78&lt;=calc1!$E$3+calc1!$E$4,
                  calc1!$N$6-initialize!$Q$2/(calc1!$E$4+1)*(calc3!B78-calc1!$E$3)-calc1!$E$2-initialize!$Q$2,
           IF(calc3!B78&lt;=calc1!$H$3,
                  calc1!$N$6-initialize!$Q$2/(calc1!$E$5+1)*(calc3!B78-calc1!$E$3-calc1!$E$4)-(calc1!$E$2+initialize!$Q$2)*2,""))),"")</f>
        <v/>
      </c>
      <c r="H78" s="69" t="str">
        <f>IF(AND(calc3!I78=TRUE,
                         ROUNDUP(calc3!A78/calc1!$N$3,0)&lt;=calc1!$O$3),
      calc1!$O$6-initialize!$Q$3,
      "")</f>
        <v/>
      </c>
      <c r="I78" s="23" t="str">
        <f>IF(AND(calc3!A78&gt;0,
                         calc3!A78&lt;=calc1!$H$2),
      IF(MOD(calc3!A78-1,modify!$B$6)=0,
            TRUE,
            FALSE),
      "")</f>
        <v/>
      </c>
      <c r="J78" s="69" t="str">
        <f>IF(I78=TRUE,
      IF(MOD(calc3!B78,modify!$K$2)=0,
            TRUE,
            FALSE),
      "")</f>
        <v/>
      </c>
      <c r="K78" s="20" t="str">
        <f>IF(I78=TRUE,
   "G0"&amp;
      " Z"&amp;calc1!$U$3&amp;
      " F"&amp; initialize!$W$3&amp;
      CHAR(10)&amp;
    "G0"&amp;
      " X"&amp;E78&amp;
      " Y"&amp;F78&amp;
      " F"&amp; initialize!$W$2&amp;
       REPT(CHAR(9),4)&amp;
       "; move to sample No. "&amp;A78&amp;
      CHAR(10)&amp;
   "G0"&amp;
      " Z"&amp;calc1!$T$3&amp;
      " F"&amp;initialize!$W$3,
 "")</f>
        <v/>
      </c>
      <c r="L78" s="71" t="str">
        <f>IF(calc3!I78=TRUE,
   "G0 "&amp;
      "Z"&amp;calc1!$U$3 &amp;
      " F"&amp;initialize!$W$3&amp;
      CHAR(10)&amp;
   "G0"&amp;
      " X"&amp;calc3!G78&amp;
      " Y"&amp;H78&amp;
      " F"&amp;initialize!$W$2&amp;
       REPT(CHAR(9),4)&amp;
       "; move to spot No."&amp;B78&amp;
      CHAR(10)&amp;
   "G0"&amp;
      " Z"&amp;calc1!$P$6+initialize!$Q$4&amp;
      " F"&amp;initialize!$W$3&amp;
       REPT(CHAR(9),5)&amp;
       "; decrease z-velocity for contact with TLC"&amp;
      CHAR(10)&amp;
   "G0"&amp;
      " Z"&amp;calc1!$P$6&amp;
      " F"&amp;initialize!$W$4,
  "")</f>
        <v/>
      </c>
      <c r="M78" s="20" t="str">
        <f>IF(AND(calc3!J78=TRUE,I79&lt;&gt;"", modify!$K$3&gt;0),
        "; cleaning process"&amp;
         CHAR(10)&amp;
         calc2!$C$8 &amp;
          REPT(
               CHAR(10)&amp;
               calc2!$C$8, modify!$K$3-1),
      "")</f>
        <v/>
      </c>
      <c r="N78" s="71" t="str">
        <f>IF(calc3!I78=TRUE,
      CHAR(10)&amp;
      "; Spot No."&amp;B78&amp;
      CHAR(10)&amp;
             IF(K78="", "", K78)&amp;                        REPLACE(N("rack"),1,1,"")&amp;CHAR(10)&amp;
             IF(calc2!$A$5="","",calc2!$A$5)&amp;        REPLACE(N("retraction"),1,1,"")&amp;CHAR(10)&amp;
             IF(L78="", "", L78)&amp;                           REPLACE(N("TLC"),1,1,"")&amp;CHAR(10)&amp;
             IF(calc2!$B$5="","",calc2!$B$5)&amp;         REPLACE(N("extrusion"),1,1,"")&amp;CHAR(10)&amp;
             IF(calc2!$C$5="","",calc2!$C$5)&amp;         REPLACE(N("waste"),1,1,"")&amp;CHAR(10)&amp;
             IF(M78="", "", M78)&amp;                          REPLACE(N("cleaning process"),1,1,""),
      "")</f>
        <v/>
      </c>
    </row>
    <row r="79" spans="1:14" ht="14.65" customHeight="1">
      <c r="A79" s="19">
        <v>78</v>
      </c>
      <c r="B79" s="69" t="str">
        <f>IF(calc3!I79=TRUE,
      COUNTIF(calc3!$I$2:I79,TRUE),
      "")</f>
        <v/>
      </c>
      <c r="C79" s="44" t="str">
        <f>IF(calc3!I79=TRUE,ROUNDUP(calc3!A79/calc1!$N$3,0),"")</f>
        <v/>
      </c>
      <c r="D79" s="69" t="str">
        <f>IF(calc3!I79=TRUE,MOD((calc3!A79-1),calc1!$N$3),"")</f>
        <v/>
      </c>
      <c r="E79" s="23" t="str">
        <f>IF(AND(calc3!I79=TRUE,
                         C79&lt;=calc1!$O$3),
      INT((calc3!A79-1)/calc1!$N$3)*calc1!$H$5+calc1!$P$3,
      "")</f>
        <v/>
      </c>
      <c r="F79" s="69" t="str">
        <f>IF(AND(calc3!I79=TRUE,
                        C79&lt;=calc1!$O$3),
      IF(
            calc1!$N$3=1,
                  calc1!$Q$3,
            IF(modify!$B$3="s-shape, starting at back left corner",
                  IF(ISODD(C79),
                             calc1!Q$3+D79*calc1!$H$4,
                              calc1!$S$3-D79*calc1!$H$4),
           IF(modify!$B$3="s-shape, starting at front left corner",
                  IF(ISEVEN(C79),
                              calc1!$Q$3+D79*calc1!$H$4,
                              calc1!$S$3-D79*calc1!$H$4),
            IF(modify!$B$3="non alternating, starting at back left corner",
                  calc1!$Q$3+D79*calc1!$H$4,
            IF(modify!$B$3="non alternating, starting at front left corner",
                  calc1!$S$3-D79*calc1!$H$4,
      ""))))),"")</f>
        <v/>
      </c>
      <c r="G79" s="23" t="str">
        <f>IF(calc3!I79=TRUE,
      IF(
            calc3!B79&lt;=calc1!$E$3,
                  calc1!$N$6-initialize!$Q$2/(calc1!$E$3+1)*calc3!B79,
            IF(calc3!B79&lt;=calc1!$E$3+calc1!$E$4,
                  calc1!$N$6-initialize!$Q$2/(calc1!$E$4+1)*(calc3!B79-calc1!$E$3)-calc1!$E$2-initialize!$Q$2,
           IF(calc3!B79&lt;=calc1!$H$3,
                  calc1!$N$6-initialize!$Q$2/(calc1!$E$5+1)*(calc3!B79-calc1!$E$3-calc1!$E$4)-(calc1!$E$2+initialize!$Q$2)*2,""))),"")</f>
        <v/>
      </c>
      <c r="H79" s="69" t="str">
        <f>IF(AND(calc3!I79=TRUE,
                         ROUNDUP(calc3!A79/calc1!$N$3,0)&lt;=calc1!$O$3),
      calc1!$O$6-initialize!$Q$3,
      "")</f>
        <v/>
      </c>
      <c r="I79" s="23" t="str">
        <f>IF(AND(calc3!A79&gt;0,
                         calc3!A79&lt;=calc1!$H$2),
      IF(MOD(calc3!A79-1,modify!$B$6)=0,
            TRUE,
            FALSE),
      "")</f>
        <v/>
      </c>
      <c r="J79" s="69" t="str">
        <f>IF(I79=TRUE,
      IF(MOD(calc3!B79,modify!$K$2)=0,
            TRUE,
            FALSE),
      "")</f>
        <v/>
      </c>
      <c r="K79" s="20" t="str">
        <f>IF(I79=TRUE,
   "G0"&amp;
      " Z"&amp;calc1!$U$3&amp;
      " F"&amp; initialize!$W$3&amp;
      CHAR(10)&amp;
    "G0"&amp;
      " X"&amp;E79&amp;
      " Y"&amp;F79&amp;
      " F"&amp; initialize!$W$2&amp;
       REPT(CHAR(9),4)&amp;
       "; move to sample No. "&amp;A79&amp;
      CHAR(10)&amp;
   "G0"&amp;
      " Z"&amp;calc1!$T$3&amp;
      " F"&amp;initialize!$W$3,
 "")</f>
        <v/>
      </c>
      <c r="L79" s="71" t="str">
        <f>IF(calc3!I79=TRUE,
   "G0 "&amp;
      "Z"&amp;calc1!$U$3 &amp;
      " F"&amp;initialize!$W$3&amp;
      CHAR(10)&amp;
   "G0"&amp;
      " X"&amp;calc3!G79&amp;
      " Y"&amp;H79&amp;
      " F"&amp;initialize!$W$2&amp;
       REPT(CHAR(9),4)&amp;
       "; move to spot No."&amp;B79&amp;
      CHAR(10)&amp;
   "G0"&amp;
      " Z"&amp;calc1!$P$6+initialize!$Q$4&amp;
      " F"&amp;initialize!$W$3&amp;
       REPT(CHAR(9),5)&amp;
       "; decrease z-velocity for contact with TLC"&amp;
      CHAR(10)&amp;
   "G0"&amp;
      " Z"&amp;calc1!$P$6&amp;
      " F"&amp;initialize!$W$4,
  "")</f>
        <v/>
      </c>
      <c r="M79" s="20" t="str">
        <f>IF(AND(calc3!J79=TRUE,I80&lt;&gt;"", modify!$K$3&gt;0),
        "; cleaning process"&amp;
         CHAR(10)&amp;
         calc2!$C$8 &amp;
          REPT(
               CHAR(10)&amp;
               calc2!$C$8, modify!$K$3-1),
      "")</f>
        <v/>
      </c>
      <c r="N79" s="71" t="str">
        <f>IF(calc3!I79=TRUE,
      CHAR(10)&amp;
      "; Spot No."&amp;B79&amp;
      CHAR(10)&amp;
             IF(K79="", "", K79)&amp;                        REPLACE(N("rack"),1,1,"")&amp;CHAR(10)&amp;
             IF(calc2!$A$5="","",calc2!$A$5)&amp;        REPLACE(N("retraction"),1,1,"")&amp;CHAR(10)&amp;
             IF(L79="", "", L79)&amp;                           REPLACE(N("TLC"),1,1,"")&amp;CHAR(10)&amp;
             IF(calc2!$B$5="","",calc2!$B$5)&amp;         REPLACE(N("extrusion"),1,1,"")&amp;CHAR(10)&amp;
             IF(calc2!$C$5="","",calc2!$C$5)&amp;         REPLACE(N("waste"),1,1,"")&amp;CHAR(10)&amp;
             IF(M79="", "", M79)&amp;                          REPLACE(N("cleaning process"),1,1,""),
      "")</f>
        <v/>
      </c>
    </row>
    <row r="80" spans="1:14" ht="14.65" customHeight="1">
      <c r="A80" s="19">
        <v>79</v>
      </c>
      <c r="B80" s="69" t="str">
        <f>IF(calc3!I80=TRUE,
      COUNTIF(calc3!$I$2:I80,TRUE),
      "")</f>
        <v/>
      </c>
      <c r="C80" s="44" t="str">
        <f>IF(calc3!I80=TRUE,ROUNDUP(calc3!A80/calc1!$N$3,0),"")</f>
        <v/>
      </c>
      <c r="D80" s="69" t="str">
        <f>IF(calc3!I80=TRUE,MOD((calc3!A80-1),calc1!$N$3),"")</f>
        <v/>
      </c>
      <c r="E80" s="23" t="str">
        <f>IF(AND(calc3!I80=TRUE,
                         C80&lt;=calc1!$O$3),
      INT((calc3!A80-1)/calc1!$N$3)*calc1!$H$5+calc1!$P$3,
      "")</f>
        <v/>
      </c>
      <c r="F80" s="69" t="str">
        <f>IF(AND(calc3!I80=TRUE,
                        C80&lt;=calc1!$O$3),
      IF(
            calc1!$N$3=1,
                  calc1!$Q$3,
            IF(modify!$B$3="s-shape, starting at back left corner",
                  IF(ISODD(C80),
                             calc1!Q$3+D80*calc1!$H$4,
                              calc1!$S$3-D80*calc1!$H$4),
           IF(modify!$B$3="s-shape, starting at front left corner",
                  IF(ISEVEN(C80),
                              calc1!$Q$3+D80*calc1!$H$4,
                              calc1!$S$3-D80*calc1!$H$4),
            IF(modify!$B$3="non alternating, starting at back left corner",
                  calc1!$Q$3+D80*calc1!$H$4,
            IF(modify!$B$3="non alternating, starting at front left corner",
                  calc1!$S$3-D80*calc1!$H$4,
      ""))))),"")</f>
        <v/>
      </c>
      <c r="G80" s="23" t="str">
        <f>IF(calc3!I80=TRUE,
      IF(
            calc3!B80&lt;=calc1!$E$3,
                  calc1!$N$6-initialize!$Q$2/(calc1!$E$3+1)*calc3!B80,
            IF(calc3!B80&lt;=calc1!$E$3+calc1!$E$4,
                  calc1!$N$6-initialize!$Q$2/(calc1!$E$4+1)*(calc3!B80-calc1!$E$3)-calc1!$E$2-initialize!$Q$2,
           IF(calc3!B80&lt;=calc1!$H$3,
                  calc1!$N$6-initialize!$Q$2/(calc1!$E$5+1)*(calc3!B80-calc1!$E$3-calc1!$E$4)-(calc1!$E$2+initialize!$Q$2)*2,""))),"")</f>
        <v/>
      </c>
      <c r="H80" s="69" t="str">
        <f>IF(AND(calc3!I80=TRUE,
                         ROUNDUP(calc3!A80/calc1!$N$3,0)&lt;=calc1!$O$3),
      calc1!$O$6-initialize!$Q$3,
      "")</f>
        <v/>
      </c>
      <c r="I80" s="23" t="str">
        <f>IF(AND(calc3!A80&gt;0,
                         calc3!A80&lt;=calc1!$H$2),
      IF(MOD(calc3!A80-1,modify!$B$6)=0,
            TRUE,
            FALSE),
      "")</f>
        <v/>
      </c>
      <c r="J80" s="69" t="str">
        <f>IF(I80=TRUE,
      IF(MOD(calc3!B80,modify!$K$2)=0,
            TRUE,
            FALSE),
      "")</f>
        <v/>
      </c>
      <c r="K80" s="20" t="str">
        <f>IF(I80=TRUE,
   "G0"&amp;
      " Z"&amp;calc1!$U$3&amp;
      " F"&amp; initialize!$W$3&amp;
      CHAR(10)&amp;
    "G0"&amp;
      " X"&amp;E80&amp;
      " Y"&amp;F80&amp;
      " F"&amp; initialize!$W$2&amp;
       REPT(CHAR(9),4)&amp;
       "; move to sample No. "&amp;A80&amp;
      CHAR(10)&amp;
   "G0"&amp;
      " Z"&amp;calc1!$T$3&amp;
      " F"&amp;initialize!$W$3,
 "")</f>
        <v/>
      </c>
      <c r="L80" s="71" t="str">
        <f>IF(calc3!I80=TRUE,
   "G0 "&amp;
      "Z"&amp;calc1!$U$3 &amp;
      " F"&amp;initialize!$W$3&amp;
      CHAR(10)&amp;
   "G0"&amp;
      " X"&amp;calc3!G80&amp;
      " Y"&amp;H80&amp;
      " F"&amp;initialize!$W$2&amp;
       REPT(CHAR(9),4)&amp;
       "; move to spot No."&amp;B80&amp;
      CHAR(10)&amp;
   "G0"&amp;
      " Z"&amp;calc1!$P$6+initialize!$Q$4&amp;
      " F"&amp;initialize!$W$3&amp;
       REPT(CHAR(9),5)&amp;
       "; decrease z-velocity for contact with TLC"&amp;
      CHAR(10)&amp;
   "G0"&amp;
      " Z"&amp;calc1!$P$6&amp;
      " F"&amp;initialize!$W$4,
  "")</f>
        <v/>
      </c>
      <c r="M80" s="20" t="str">
        <f>IF(AND(calc3!J80=TRUE,I81&lt;&gt;"", modify!$K$3&gt;0),
        "; cleaning process"&amp;
         CHAR(10)&amp;
         calc2!$C$8 &amp;
          REPT(
               CHAR(10)&amp;
               calc2!$C$8, modify!$K$3-1),
      "")</f>
        <v/>
      </c>
      <c r="N80" s="71" t="str">
        <f>IF(calc3!I80=TRUE,
      CHAR(10)&amp;
      "; Spot No."&amp;B80&amp;
      CHAR(10)&amp;
             IF(K80="", "", K80)&amp;                        REPLACE(N("rack"),1,1,"")&amp;CHAR(10)&amp;
             IF(calc2!$A$5="","",calc2!$A$5)&amp;        REPLACE(N("retraction"),1,1,"")&amp;CHAR(10)&amp;
             IF(L80="", "", L80)&amp;                           REPLACE(N("TLC"),1,1,"")&amp;CHAR(10)&amp;
             IF(calc2!$B$5="","",calc2!$B$5)&amp;         REPLACE(N("extrusion"),1,1,"")&amp;CHAR(10)&amp;
             IF(calc2!$C$5="","",calc2!$C$5)&amp;         REPLACE(N("waste"),1,1,"")&amp;CHAR(10)&amp;
             IF(M80="", "", M80)&amp;                          REPLACE(N("cleaning process"),1,1,""),
      "")</f>
        <v/>
      </c>
    </row>
    <row r="81" spans="1:14" ht="14.65" customHeight="1">
      <c r="A81" s="19">
        <v>80</v>
      </c>
      <c r="B81" s="69" t="str">
        <f>IF(calc3!I81=TRUE,
      COUNTIF(calc3!$I$2:I81,TRUE),
      "")</f>
        <v/>
      </c>
      <c r="C81" s="44" t="str">
        <f>IF(calc3!I81=TRUE,ROUNDUP(calc3!A81/calc1!$N$3,0),"")</f>
        <v/>
      </c>
      <c r="D81" s="69" t="str">
        <f>IF(calc3!I81=TRUE,MOD((calc3!A81-1),calc1!$N$3),"")</f>
        <v/>
      </c>
      <c r="E81" s="23" t="str">
        <f>IF(AND(calc3!I81=TRUE,
                         C81&lt;=calc1!$O$3),
      INT((calc3!A81-1)/calc1!$N$3)*calc1!$H$5+calc1!$P$3,
      "")</f>
        <v/>
      </c>
      <c r="F81" s="69" t="str">
        <f>IF(AND(calc3!I81=TRUE,
                        C81&lt;=calc1!$O$3),
      IF(
            calc1!$N$3=1,
                  calc1!$Q$3,
            IF(modify!$B$3="s-shape, starting at back left corner",
                  IF(ISODD(C81),
                             calc1!Q$3+D81*calc1!$H$4,
                              calc1!$S$3-D81*calc1!$H$4),
           IF(modify!$B$3="s-shape, starting at front left corner",
                  IF(ISEVEN(C81),
                              calc1!$Q$3+D81*calc1!$H$4,
                              calc1!$S$3-D81*calc1!$H$4),
            IF(modify!$B$3="non alternating, starting at back left corner",
                  calc1!$Q$3+D81*calc1!$H$4,
            IF(modify!$B$3="non alternating, starting at front left corner",
                  calc1!$S$3-D81*calc1!$H$4,
      ""))))),"")</f>
        <v/>
      </c>
      <c r="G81" s="23" t="str">
        <f>IF(calc3!I81=TRUE,
      IF(
            calc3!B81&lt;=calc1!$E$3,
                  calc1!$N$6-initialize!$Q$2/(calc1!$E$3+1)*calc3!B81,
            IF(calc3!B81&lt;=calc1!$E$3+calc1!$E$4,
                  calc1!$N$6-initialize!$Q$2/(calc1!$E$4+1)*(calc3!B81-calc1!$E$3)-calc1!$E$2-initialize!$Q$2,
           IF(calc3!B81&lt;=calc1!$H$3,
                  calc1!$N$6-initialize!$Q$2/(calc1!$E$5+1)*(calc3!B81-calc1!$E$3-calc1!$E$4)-(calc1!$E$2+initialize!$Q$2)*2,""))),"")</f>
        <v/>
      </c>
      <c r="H81" s="69" t="str">
        <f>IF(AND(calc3!I81=TRUE,
                         ROUNDUP(calc3!A81/calc1!$N$3,0)&lt;=calc1!$O$3),
      calc1!$O$6-initialize!$Q$3,
      "")</f>
        <v/>
      </c>
      <c r="I81" s="23" t="str">
        <f>IF(AND(calc3!A81&gt;0,
                         calc3!A81&lt;=calc1!$H$2),
      IF(MOD(calc3!A81-1,modify!$B$6)=0,
            TRUE,
            FALSE),
      "")</f>
        <v/>
      </c>
      <c r="J81" s="69" t="str">
        <f>IF(I81=TRUE,
      IF(MOD(calc3!B81,modify!$K$2)=0,
            TRUE,
            FALSE),
      "")</f>
        <v/>
      </c>
      <c r="K81" s="20" t="str">
        <f>IF(I81=TRUE,
   "G0"&amp;
      " Z"&amp;calc1!$U$3&amp;
      " F"&amp; initialize!$W$3&amp;
      CHAR(10)&amp;
    "G0"&amp;
      " X"&amp;E81&amp;
      " Y"&amp;F81&amp;
      " F"&amp; initialize!$W$2&amp;
       REPT(CHAR(9),4)&amp;
       "; move to sample No. "&amp;A81&amp;
      CHAR(10)&amp;
   "G0"&amp;
      " Z"&amp;calc1!$T$3&amp;
      " F"&amp;initialize!$W$3,
 "")</f>
        <v/>
      </c>
      <c r="L81" s="71" t="str">
        <f>IF(calc3!I81=TRUE,
   "G0 "&amp;
      "Z"&amp;calc1!$U$3 &amp;
      " F"&amp;initialize!$W$3&amp;
      CHAR(10)&amp;
   "G0"&amp;
      " X"&amp;calc3!G81&amp;
      " Y"&amp;H81&amp;
      " F"&amp;initialize!$W$2&amp;
       REPT(CHAR(9),4)&amp;
       "; move to spot No."&amp;B81&amp;
      CHAR(10)&amp;
   "G0"&amp;
      " Z"&amp;calc1!$P$6+initialize!$Q$4&amp;
      " F"&amp;initialize!$W$3&amp;
       REPT(CHAR(9),5)&amp;
       "; decrease z-velocity for contact with TLC"&amp;
      CHAR(10)&amp;
   "G0"&amp;
      " Z"&amp;calc1!$P$6&amp;
      " F"&amp;initialize!$W$4,
  "")</f>
        <v/>
      </c>
      <c r="M81" s="20" t="str">
        <f>IF(AND(calc3!J81=TRUE,I82&lt;&gt;"", modify!$K$3&gt;0),
        "; cleaning process"&amp;
         CHAR(10)&amp;
         calc2!$C$8 &amp;
          REPT(
               CHAR(10)&amp;
               calc2!$C$8, modify!$K$3-1),
      "")</f>
        <v/>
      </c>
      <c r="N81" s="71" t="str">
        <f>IF(calc3!I81=TRUE,
      CHAR(10)&amp;
      "; Spot No."&amp;B81&amp;
      CHAR(10)&amp;
             IF(K81="", "", K81)&amp;                        REPLACE(N("rack"),1,1,"")&amp;CHAR(10)&amp;
             IF(calc2!$A$5="","",calc2!$A$5)&amp;        REPLACE(N("retraction"),1,1,"")&amp;CHAR(10)&amp;
             IF(L81="", "", L81)&amp;                           REPLACE(N("TLC"),1,1,"")&amp;CHAR(10)&amp;
             IF(calc2!$B$5="","",calc2!$B$5)&amp;         REPLACE(N("extrusion"),1,1,"")&amp;CHAR(10)&amp;
             IF(calc2!$C$5="","",calc2!$C$5)&amp;         REPLACE(N("waste"),1,1,"")&amp;CHAR(10)&amp;
             IF(M81="", "", M81)&amp;                          REPLACE(N("cleaning process"),1,1,""),
      "")</f>
        <v/>
      </c>
    </row>
    <row r="82" spans="1:14" ht="14.65" customHeight="1">
      <c r="A82" s="19">
        <v>81</v>
      </c>
      <c r="B82" s="69" t="str">
        <f>IF(calc3!I82=TRUE,
      COUNTIF(calc3!$I$2:I82,TRUE),
      "")</f>
        <v/>
      </c>
      <c r="C82" s="44" t="str">
        <f>IF(calc3!I82=TRUE,ROUNDUP(calc3!A82/calc1!$N$3,0),"")</f>
        <v/>
      </c>
      <c r="D82" s="69" t="str">
        <f>IF(calc3!I82=TRUE,MOD((calc3!A82-1),calc1!$N$3),"")</f>
        <v/>
      </c>
      <c r="E82" s="23" t="str">
        <f>IF(AND(calc3!I82=TRUE,
                         C82&lt;=calc1!$O$3),
      INT((calc3!A82-1)/calc1!$N$3)*calc1!$H$5+calc1!$P$3,
      "")</f>
        <v/>
      </c>
      <c r="F82" s="69" t="str">
        <f>IF(AND(calc3!I82=TRUE,
                        C82&lt;=calc1!$O$3),
      IF(
            calc1!$N$3=1,
                  calc1!$Q$3,
            IF(modify!$B$3="s-shape, starting at back left corner",
                  IF(ISODD(C82),
                             calc1!Q$3+D82*calc1!$H$4,
                              calc1!$S$3-D82*calc1!$H$4),
           IF(modify!$B$3="s-shape, starting at front left corner",
                  IF(ISEVEN(C82),
                              calc1!$Q$3+D82*calc1!$H$4,
                              calc1!$S$3-D82*calc1!$H$4),
            IF(modify!$B$3="non alternating, starting at back left corner",
                  calc1!$Q$3+D82*calc1!$H$4,
            IF(modify!$B$3="non alternating, starting at front left corner",
                  calc1!$S$3-D82*calc1!$H$4,
      ""))))),"")</f>
        <v/>
      </c>
      <c r="G82" s="23" t="str">
        <f>IF(calc3!I82=TRUE,
      IF(
            calc3!B82&lt;=calc1!$E$3,
                  calc1!$N$6-initialize!$Q$2/(calc1!$E$3+1)*calc3!B82,
            IF(calc3!B82&lt;=calc1!$E$3+calc1!$E$4,
                  calc1!$N$6-initialize!$Q$2/(calc1!$E$4+1)*(calc3!B82-calc1!$E$3)-calc1!$E$2-initialize!$Q$2,
           IF(calc3!B82&lt;=calc1!$H$3,
                  calc1!$N$6-initialize!$Q$2/(calc1!$E$5+1)*(calc3!B82-calc1!$E$3-calc1!$E$4)-(calc1!$E$2+initialize!$Q$2)*2,""))),"")</f>
        <v/>
      </c>
      <c r="H82" s="69" t="str">
        <f>IF(AND(calc3!I82=TRUE,
                         ROUNDUP(calc3!A82/calc1!$N$3,0)&lt;=calc1!$O$3),
      calc1!$O$6-initialize!$Q$3,
      "")</f>
        <v/>
      </c>
      <c r="I82" s="23" t="str">
        <f>IF(AND(calc3!A82&gt;0,
                         calc3!A82&lt;=calc1!$H$2),
      IF(MOD(calc3!A82-1,modify!$B$6)=0,
            TRUE,
            FALSE),
      "")</f>
        <v/>
      </c>
      <c r="J82" s="69" t="str">
        <f>IF(I82=TRUE,
      IF(MOD(calc3!B82,modify!$K$2)=0,
            TRUE,
            FALSE),
      "")</f>
        <v/>
      </c>
      <c r="K82" s="20" t="str">
        <f>IF(I82=TRUE,
   "G0"&amp;
      " Z"&amp;calc1!$U$3&amp;
      " F"&amp; initialize!$W$3&amp;
      CHAR(10)&amp;
    "G0"&amp;
      " X"&amp;E82&amp;
      " Y"&amp;F82&amp;
      " F"&amp; initialize!$W$2&amp;
       REPT(CHAR(9),4)&amp;
       "; move to sample No. "&amp;A82&amp;
      CHAR(10)&amp;
   "G0"&amp;
      " Z"&amp;calc1!$T$3&amp;
      " F"&amp;initialize!$W$3,
 "")</f>
        <v/>
      </c>
      <c r="L82" s="71" t="str">
        <f>IF(calc3!I82=TRUE,
   "G0 "&amp;
      "Z"&amp;calc1!$U$3 &amp;
      " F"&amp;initialize!$W$3&amp;
      CHAR(10)&amp;
   "G0"&amp;
      " X"&amp;calc3!G82&amp;
      " Y"&amp;H82&amp;
      " F"&amp;initialize!$W$2&amp;
       REPT(CHAR(9),4)&amp;
       "; move to spot No."&amp;B82&amp;
      CHAR(10)&amp;
   "G0"&amp;
      " Z"&amp;calc1!$P$6+initialize!$Q$4&amp;
      " F"&amp;initialize!$W$3&amp;
       REPT(CHAR(9),5)&amp;
       "; decrease z-velocity for contact with TLC"&amp;
      CHAR(10)&amp;
   "G0"&amp;
      " Z"&amp;calc1!$P$6&amp;
      " F"&amp;initialize!$W$4,
  "")</f>
        <v/>
      </c>
      <c r="M82" s="20" t="str">
        <f>IF(AND(calc3!J82=TRUE,I83&lt;&gt;"", modify!$K$3&gt;0),
        "; cleaning process"&amp;
         CHAR(10)&amp;
         calc2!$C$8 &amp;
          REPT(
               CHAR(10)&amp;
               calc2!$C$8, modify!$K$3-1),
      "")</f>
        <v/>
      </c>
      <c r="N82" s="71" t="str">
        <f>IF(calc3!I82=TRUE,
      CHAR(10)&amp;
      "; Spot No."&amp;B82&amp;
      CHAR(10)&amp;
             IF(K82="", "", K82)&amp;                        REPLACE(N("rack"),1,1,"")&amp;CHAR(10)&amp;
             IF(calc2!$A$5="","",calc2!$A$5)&amp;        REPLACE(N("retraction"),1,1,"")&amp;CHAR(10)&amp;
             IF(L82="", "", L82)&amp;                           REPLACE(N("TLC"),1,1,"")&amp;CHAR(10)&amp;
             IF(calc2!$B$5="","",calc2!$B$5)&amp;         REPLACE(N("extrusion"),1,1,"")&amp;CHAR(10)&amp;
             IF(calc2!$C$5="","",calc2!$C$5)&amp;         REPLACE(N("waste"),1,1,"")&amp;CHAR(10)&amp;
             IF(M82="", "", M82)&amp;                          REPLACE(N("cleaning process"),1,1,""),
      "")</f>
        <v/>
      </c>
    </row>
    <row r="83" spans="1:14" ht="14.65" customHeight="1">
      <c r="A83" s="19">
        <v>82</v>
      </c>
      <c r="B83" s="69" t="str">
        <f>IF(calc3!I83=TRUE,
      COUNTIF(calc3!$I$2:I83,TRUE),
      "")</f>
        <v/>
      </c>
      <c r="C83" s="44" t="str">
        <f>IF(calc3!I83=TRUE,ROUNDUP(calc3!A83/calc1!$N$3,0),"")</f>
        <v/>
      </c>
      <c r="D83" s="69" t="str">
        <f>IF(calc3!I83=TRUE,MOD((calc3!A83-1),calc1!$N$3),"")</f>
        <v/>
      </c>
      <c r="E83" s="23" t="str">
        <f>IF(AND(calc3!I83=TRUE,
                         C83&lt;=calc1!$O$3),
      INT((calc3!A83-1)/calc1!$N$3)*calc1!$H$5+calc1!$P$3,
      "")</f>
        <v/>
      </c>
      <c r="F83" s="69" t="str">
        <f>IF(AND(calc3!I83=TRUE,
                        C83&lt;=calc1!$O$3),
      IF(
            calc1!$N$3=1,
                  calc1!$Q$3,
            IF(modify!$B$3="s-shape, starting at back left corner",
                  IF(ISODD(C83),
                             calc1!Q$3+D83*calc1!$H$4,
                              calc1!$S$3-D83*calc1!$H$4),
           IF(modify!$B$3="s-shape, starting at front left corner",
                  IF(ISEVEN(C83),
                              calc1!$Q$3+D83*calc1!$H$4,
                              calc1!$S$3-D83*calc1!$H$4),
            IF(modify!$B$3="non alternating, starting at back left corner",
                  calc1!$Q$3+D83*calc1!$H$4,
            IF(modify!$B$3="non alternating, starting at front left corner",
                  calc1!$S$3-D83*calc1!$H$4,
      ""))))),"")</f>
        <v/>
      </c>
      <c r="G83" s="23" t="str">
        <f>IF(calc3!I83=TRUE,
      IF(
            calc3!B83&lt;=calc1!$E$3,
                  calc1!$N$6-initialize!$Q$2/(calc1!$E$3+1)*calc3!B83,
            IF(calc3!B83&lt;=calc1!$E$3+calc1!$E$4,
                  calc1!$N$6-initialize!$Q$2/(calc1!$E$4+1)*(calc3!B83-calc1!$E$3)-calc1!$E$2-initialize!$Q$2,
           IF(calc3!B83&lt;=calc1!$H$3,
                  calc1!$N$6-initialize!$Q$2/(calc1!$E$5+1)*(calc3!B83-calc1!$E$3-calc1!$E$4)-(calc1!$E$2+initialize!$Q$2)*2,""))),"")</f>
        <v/>
      </c>
      <c r="H83" s="69" t="str">
        <f>IF(AND(calc3!I83=TRUE,
                         ROUNDUP(calc3!A83/calc1!$N$3,0)&lt;=calc1!$O$3),
      calc1!$O$6-initialize!$Q$3,
      "")</f>
        <v/>
      </c>
      <c r="I83" s="23" t="str">
        <f>IF(AND(calc3!A83&gt;0,
                         calc3!A83&lt;=calc1!$H$2),
      IF(MOD(calc3!A83-1,modify!$B$6)=0,
            TRUE,
            FALSE),
      "")</f>
        <v/>
      </c>
      <c r="J83" s="69" t="str">
        <f>IF(I83=TRUE,
      IF(MOD(calc3!B83,modify!$K$2)=0,
            TRUE,
            FALSE),
      "")</f>
        <v/>
      </c>
      <c r="K83" s="20" t="str">
        <f>IF(I83=TRUE,
   "G0"&amp;
      " Z"&amp;calc1!$U$3&amp;
      " F"&amp; initialize!$W$3&amp;
      CHAR(10)&amp;
    "G0"&amp;
      " X"&amp;E83&amp;
      " Y"&amp;F83&amp;
      " F"&amp; initialize!$W$2&amp;
       REPT(CHAR(9),4)&amp;
       "; move to sample No. "&amp;A83&amp;
      CHAR(10)&amp;
   "G0"&amp;
      " Z"&amp;calc1!$T$3&amp;
      " F"&amp;initialize!$W$3,
 "")</f>
        <v/>
      </c>
      <c r="L83" s="71" t="str">
        <f>IF(calc3!I83=TRUE,
   "G0 "&amp;
      "Z"&amp;calc1!$U$3 &amp;
      " F"&amp;initialize!$W$3&amp;
      CHAR(10)&amp;
   "G0"&amp;
      " X"&amp;calc3!G83&amp;
      " Y"&amp;H83&amp;
      " F"&amp;initialize!$W$2&amp;
       REPT(CHAR(9),4)&amp;
       "; move to spot No."&amp;B83&amp;
      CHAR(10)&amp;
   "G0"&amp;
      " Z"&amp;calc1!$P$6+initialize!$Q$4&amp;
      " F"&amp;initialize!$W$3&amp;
       REPT(CHAR(9),5)&amp;
       "; decrease z-velocity for contact with TLC"&amp;
      CHAR(10)&amp;
   "G0"&amp;
      " Z"&amp;calc1!$P$6&amp;
      " F"&amp;initialize!$W$4,
  "")</f>
        <v/>
      </c>
      <c r="M83" s="20" t="str">
        <f>IF(AND(calc3!J83=TRUE,I84&lt;&gt;"", modify!$K$3&gt;0),
        "; cleaning process"&amp;
         CHAR(10)&amp;
         calc2!$C$8 &amp;
          REPT(
               CHAR(10)&amp;
               calc2!$C$8, modify!$K$3-1),
      "")</f>
        <v/>
      </c>
      <c r="N83" s="71" t="str">
        <f>IF(calc3!I83=TRUE,
      CHAR(10)&amp;
      "; Spot No."&amp;B83&amp;
      CHAR(10)&amp;
             IF(K83="", "", K83)&amp;                        REPLACE(N("rack"),1,1,"")&amp;CHAR(10)&amp;
             IF(calc2!$A$5="","",calc2!$A$5)&amp;        REPLACE(N("retraction"),1,1,"")&amp;CHAR(10)&amp;
             IF(L83="", "", L83)&amp;                           REPLACE(N("TLC"),1,1,"")&amp;CHAR(10)&amp;
             IF(calc2!$B$5="","",calc2!$B$5)&amp;         REPLACE(N("extrusion"),1,1,"")&amp;CHAR(10)&amp;
             IF(calc2!$C$5="","",calc2!$C$5)&amp;         REPLACE(N("waste"),1,1,"")&amp;CHAR(10)&amp;
             IF(M83="", "", M83)&amp;                          REPLACE(N("cleaning process"),1,1,""),
      "")</f>
        <v/>
      </c>
    </row>
    <row r="84" spans="1:14" ht="14.65" customHeight="1">
      <c r="A84" s="19">
        <v>83</v>
      </c>
      <c r="B84" s="69" t="str">
        <f>IF(calc3!I84=TRUE,
      COUNTIF(calc3!$I$2:I84,TRUE),
      "")</f>
        <v/>
      </c>
      <c r="C84" s="44" t="str">
        <f>IF(calc3!I84=TRUE,ROUNDUP(calc3!A84/calc1!$N$3,0),"")</f>
        <v/>
      </c>
      <c r="D84" s="69" t="str">
        <f>IF(calc3!I84=TRUE,MOD((calc3!A84-1),calc1!$N$3),"")</f>
        <v/>
      </c>
      <c r="E84" s="23" t="str">
        <f>IF(AND(calc3!I84=TRUE,
                         C84&lt;=calc1!$O$3),
      INT((calc3!A84-1)/calc1!$N$3)*calc1!$H$5+calc1!$P$3,
      "")</f>
        <v/>
      </c>
      <c r="F84" s="69" t="str">
        <f>IF(AND(calc3!I84=TRUE,
                        C84&lt;=calc1!$O$3),
      IF(
            calc1!$N$3=1,
                  calc1!$Q$3,
            IF(modify!$B$3="s-shape, starting at back left corner",
                  IF(ISODD(C84),
                             calc1!Q$3+D84*calc1!$H$4,
                              calc1!$S$3-D84*calc1!$H$4),
           IF(modify!$B$3="s-shape, starting at front left corner",
                  IF(ISEVEN(C84),
                              calc1!$Q$3+D84*calc1!$H$4,
                              calc1!$S$3-D84*calc1!$H$4),
            IF(modify!$B$3="non alternating, starting at back left corner",
                  calc1!$Q$3+D84*calc1!$H$4,
            IF(modify!$B$3="non alternating, starting at front left corner",
                  calc1!$S$3-D84*calc1!$H$4,
      ""))))),"")</f>
        <v/>
      </c>
      <c r="G84" s="23" t="str">
        <f>IF(calc3!I84=TRUE,
      IF(
            calc3!B84&lt;=calc1!$E$3,
                  calc1!$N$6-initialize!$Q$2/(calc1!$E$3+1)*calc3!B84,
            IF(calc3!B84&lt;=calc1!$E$3+calc1!$E$4,
                  calc1!$N$6-initialize!$Q$2/(calc1!$E$4+1)*(calc3!B84-calc1!$E$3)-calc1!$E$2-initialize!$Q$2,
           IF(calc3!B84&lt;=calc1!$H$3,
                  calc1!$N$6-initialize!$Q$2/(calc1!$E$5+1)*(calc3!B84-calc1!$E$3-calc1!$E$4)-(calc1!$E$2+initialize!$Q$2)*2,""))),"")</f>
        <v/>
      </c>
      <c r="H84" s="69" t="str">
        <f>IF(AND(calc3!I84=TRUE,
                         ROUNDUP(calc3!A84/calc1!$N$3,0)&lt;=calc1!$O$3),
      calc1!$O$6-initialize!$Q$3,
      "")</f>
        <v/>
      </c>
      <c r="I84" s="23" t="str">
        <f>IF(AND(calc3!A84&gt;0,
                         calc3!A84&lt;=calc1!$H$2),
      IF(MOD(calc3!A84-1,modify!$B$6)=0,
            TRUE,
            FALSE),
      "")</f>
        <v/>
      </c>
      <c r="J84" s="69" t="str">
        <f>IF(I84=TRUE,
      IF(MOD(calc3!B84,modify!$K$2)=0,
            TRUE,
            FALSE),
      "")</f>
        <v/>
      </c>
      <c r="K84" s="20" t="str">
        <f>IF(I84=TRUE,
   "G0"&amp;
      " Z"&amp;calc1!$U$3&amp;
      " F"&amp; initialize!$W$3&amp;
      CHAR(10)&amp;
    "G0"&amp;
      " X"&amp;E84&amp;
      " Y"&amp;F84&amp;
      " F"&amp; initialize!$W$2&amp;
       REPT(CHAR(9),4)&amp;
       "; move to sample No. "&amp;A84&amp;
      CHAR(10)&amp;
   "G0"&amp;
      " Z"&amp;calc1!$T$3&amp;
      " F"&amp;initialize!$W$3,
 "")</f>
        <v/>
      </c>
      <c r="L84" s="71" t="str">
        <f>IF(calc3!I84=TRUE,
   "G0 "&amp;
      "Z"&amp;calc1!$U$3 &amp;
      " F"&amp;initialize!$W$3&amp;
      CHAR(10)&amp;
   "G0"&amp;
      " X"&amp;calc3!G84&amp;
      " Y"&amp;H84&amp;
      " F"&amp;initialize!$W$2&amp;
       REPT(CHAR(9),4)&amp;
       "; move to spot No."&amp;B84&amp;
      CHAR(10)&amp;
   "G0"&amp;
      " Z"&amp;calc1!$P$6+initialize!$Q$4&amp;
      " F"&amp;initialize!$W$3&amp;
       REPT(CHAR(9),5)&amp;
       "; decrease z-velocity for contact with TLC"&amp;
      CHAR(10)&amp;
   "G0"&amp;
      " Z"&amp;calc1!$P$6&amp;
      " F"&amp;initialize!$W$4,
  "")</f>
        <v/>
      </c>
      <c r="M84" s="20" t="str">
        <f>IF(AND(calc3!J84=TRUE,I85&lt;&gt;"", modify!$K$3&gt;0),
        "; cleaning process"&amp;
         CHAR(10)&amp;
         calc2!$C$8 &amp;
          REPT(
               CHAR(10)&amp;
               calc2!$C$8, modify!$K$3-1),
      "")</f>
        <v/>
      </c>
      <c r="N84" s="71" t="str">
        <f>IF(calc3!I84=TRUE,
      CHAR(10)&amp;
      "; Spot No."&amp;B84&amp;
      CHAR(10)&amp;
             IF(K84="", "", K84)&amp;                        REPLACE(N("rack"),1,1,"")&amp;CHAR(10)&amp;
             IF(calc2!$A$5="","",calc2!$A$5)&amp;        REPLACE(N("retraction"),1,1,"")&amp;CHAR(10)&amp;
             IF(L84="", "", L84)&amp;                           REPLACE(N("TLC"),1,1,"")&amp;CHAR(10)&amp;
             IF(calc2!$B$5="","",calc2!$B$5)&amp;         REPLACE(N("extrusion"),1,1,"")&amp;CHAR(10)&amp;
             IF(calc2!$C$5="","",calc2!$C$5)&amp;         REPLACE(N("waste"),1,1,"")&amp;CHAR(10)&amp;
             IF(M84="", "", M84)&amp;                          REPLACE(N("cleaning process"),1,1,""),
      "")</f>
        <v/>
      </c>
    </row>
    <row r="85" spans="1:14" ht="14.65" customHeight="1">
      <c r="A85" s="19">
        <v>84</v>
      </c>
      <c r="B85" s="69" t="str">
        <f>IF(calc3!I85=TRUE,
      COUNTIF(calc3!$I$2:I85,TRUE),
      "")</f>
        <v/>
      </c>
      <c r="C85" s="44" t="str">
        <f>IF(calc3!I85=TRUE,ROUNDUP(calc3!A85/calc1!$N$3,0),"")</f>
        <v/>
      </c>
      <c r="D85" s="69" t="str">
        <f>IF(calc3!I85=TRUE,MOD((calc3!A85-1),calc1!$N$3),"")</f>
        <v/>
      </c>
      <c r="E85" s="23" t="str">
        <f>IF(AND(calc3!I85=TRUE,
                         C85&lt;=calc1!$O$3),
      INT((calc3!A85-1)/calc1!$N$3)*calc1!$H$5+calc1!$P$3,
      "")</f>
        <v/>
      </c>
      <c r="F85" s="69" t="str">
        <f>IF(AND(calc3!I85=TRUE,
                        C85&lt;=calc1!$O$3),
      IF(
            calc1!$N$3=1,
                  calc1!$Q$3,
            IF(modify!$B$3="s-shape, starting at back left corner",
                  IF(ISODD(C85),
                             calc1!Q$3+D85*calc1!$H$4,
                              calc1!$S$3-D85*calc1!$H$4),
           IF(modify!$B$3="s-shape, starting at front left corner",
                  IF(ISEVEN(C85),
                              calc1!$Q$3+D85*calc1!$H$4,
                              calc1!$S$3-D85*calc1!$H$4),
            IF(modify!$B$3="non alternating, starting at back left corner",
                  calc1!$Q$3+D85*calc1!$H$4,
            IF(modify!$B$3="non alternating, starting at front left corner",
                  calc1!$S$3-D85*calc1!$H$4,
      ""))))),"")</f>
        <v/>
      </c>
      <c r="G85" s="23" t="str">
        <f>IF(calc3!I85=TRUE,
      IF(
            calc3!B85&lt;=calc1!$E$3,
                  calc1!$N$6-initialize!$Q$2/(calc1!$E$3+1)*calc3!B85,
            IF(calc3!B85&lt;=calc1!$E$3+calc1!$E$4,
                  calc1!$N$6-initialize!$Q$2/(calc1!$E$4+1)*(calc3!B85-calc1!$E$3)-calc1!$E$2-initialize!$Q$2,
           IF(calc3!B85&lt;=calc1!$H$3,
                  calc1!$N$6-initialize!$Q$2/(calc1!$E$5+1)*(calc3!B85-calc1!$E$3-calc1!$E$4)-(calc1!$E$2+initialize!$Q$2)*2,""))),"")</f>
        <v/>
      </c>
      <c r="H85" s="69" t="str">
        <f>IF(AND(calc3!I85=TRUE,
                         ROUNDUP(calc3!A85/calc1!$N$3,0)&lt;=calc1!$O$3),
      calc1!$O$6-initialize!$Q$3,
      "")</f>
        <v/>
      </c>
      <c r="I85" s="23" t="str">
        <f>IF(AND(calc3!A85&gt;0,
                         calc3!A85&lt;=calc1!$H$2),
      IF(MOD(calc3!A85-1,modify!$B$6)=0,
            TRUE,
            FALSE),
      "")</f>
        <v/>
      </c>
      <c r="J85" s="69" t="str">
        <f>IF(I85=TRUE,
      IF(MOD(calc3!B85,modify!$K$2)=0,
            TRUE,
            FALSE),
      "")</f>
        <v/>
      </c>
      <c r="K85" s="20" t="str">
        <f>IF(I85=TRUE,
   "G0"&amp;
      " Z"&amp;calc1!$U$3&amp;
      " F"&amp; initialize!$W$3&amp;
      CHAR(10)&amp;
    "G0"&amp;
      " X"&amp;E85&amp;
      " Y"&amp;F85&amp;
      " F"&amp; initialize!$W$2&amp;
       REPT(CHAR(9),4)&amp;
       "; move to sample No. "&amp;A85&amp;
      CHAR(10)&amp;
   "G0"&amp;
      " Z"&amp;calc1!$T$3&amp;
      " F"&amp;initialize!$W$3,
 "")</f>
        <v/>
      </c>
      <c r="L85" s="71" t="str">
        <f>IF(calc3!I85=TRUE,
   "G0 "&amp;
      "Z"&amp;calc1!$U$3 &amp;
      " F"&amp;initialize!$W$3&amp;
      CHAR(10)&amp;
   "G0"&amp;
      " X"&amp;calc3!G85&amp;
      " Y"&amp;H85&amp;
      " F"&amp;initialize!$W$2&amp;
       REPT(CHAR(9),4)&amp;
       "; move to spot No."&amp;B85&amp;
      CHAR(10)&amp;
   "G0"&amp;
      " Z"&amp;calc1!$P$6+initialize!$Q$4&amp;
      " F"&amp;initialize!$W$3&amp;
       REPT(CHAR(9),5)&amp;
       "; decrease z-velocity for contact with TLC"&amp;
      CHAR(10)&amp;
   "G0"&amp;
      " Z"&amp;calc1!$P$6&amp;
      " F"&amp;initialize!$W$4,
  "")</f>
        <v/>
      </c>
      <c r="M85" s="20" t="str">
        <f>IF(AND(calc3!J85=TRUE,I86&lt;&gt;"", modify!$K$3&gt;0),
        "; cleaning process"&amp;
         CHAR(10)&amp;
         calc2!$C$8 &amp;
          REPT(
               CHAR(10)&amp;
               calc2!$C$8, modify!$K$3-1),
      "")</f>
        <v/>
      </c>
      <c r="N85" s="71" t="str">
        <f>IF(calc3!I85=TRUE,
      CHAR(10)&amp;
      "; Spot No."&amp;B85&amp;
      CHAR(10)&amp;
             IF(K85="", "", K85)&amp;                        REPLACE(N("rack"),1,1,"")&amp;CHAR(10)&amp;
             IF(calc2!$A$5="","",calc2!$A$5)&amp;        REPLACE(N("retraction"),1,1,"")&amp;CHAR(10)&amp;
             IF(L85="", "", L85)&amp;                           REPLACE(N("TLC"),1,1,"")&amp;CHAR(10)&amp;
             IF(calc2!$B$5="","",calc2!$B$5)&amp;         REPLACE(N("extrusion"),1,1,"")&amp;CHAR(10)&amp;
             IF(calc2!$C$5="","",calc2!$C$5)&amp;         REPLACE(N("waste"),1,1,"")&amp;CHAR(10)&amp;
             IF(M85="", "", M85)&amp;                          REPLACE(N("cleaning process"),1,1,""),
      "")</f>
        <v/>
      </c>
    </row>
    <row r="86" spans="1:14" ht="14.65" customHeight="1">
      <c r="A86" s="19">
        <v>85</v>
      </c>
      <c r="B86" s="69" t="str">
        <f>IF(calc3!I86=TRUE,
      COUNTIF(calc3!$I$2:I86,TRUE),
      "")</f>
        <v/>
      </c>
      <c r="C86" s="44" t="str">
        <f>IF(calc3!I86=TRUE,ROUNDUP(calc3!A86/calc1!$N$3,0),"")</f>
        <v/>
      </c>
      <c r="D86" s="69" t="str">
        <f>IF(calc3!I86=TRUE,MOD((calc3!A86-1),calc1!$N$3),"")</f>
        <v/>
      </c>
      <c r="E86" s="23" t="str">
        <f>IF(AND(calc3!I86=TRUE,
                         C86&lt;=calc1!$O$3),
      INT((calc3!A86-1)/calc1!$N$3)*calc1!$H$5+calc1!$P$3,
      "")</f>
        <v/>
      </c>
      <c r="F86" s="69" t="str">
        <f>IF(AND(calc3!I86=TRUE,
                        C86&lt;=calc1!$O$3),
      IF(
            calc1!$N$3=1,
                  calc1!$Q$3,
            IF(modify!$B$3="s-shape, starting at back left corner",
                  IF(ISODD(C86),
                             calc1!Q$3+D86*calc1!$H$4,
                              calc1!$S$3-D86*calc1!$H$4),
           IF(modify!$B$3="s-shape, starting at front left corner",
                  IF(ISEVEN(C86),
                              calc1!$Q$3+D86*calc1!$H$4,
                              calc1!$S$3-D86*calc1!$H$4),
            IF(modify!$B$3="non alternating, starting at back left corner",
                  calc1!$Q$3+D86*calc1!$H$4,
            IF(modify!$B$3="non alternating, starting at front left corner",
                  calc1!$S$3-D86*calc1!$H$4,
      ""))))),"")</f>
        <v/>
      </c>
      <c r="G86" s="23" t="str">
        <f>IF(calc3!I86=TRUE,
      IF(
            calc3!B86&lt;=calc1!$E$3,
                  calc1!$N$6-initialize!$Q$2/(calc1!$E$3+1)*calc3!B86,
            IF(calc3!B86&lt;=calc1!$E$3+calc1!$E$4,
                  calc1!$N$6-initialize!$Q$2/(calc1!$E$4+1)*(calc3!B86-calc1!$E$3)-calc1!$E$2-initialize!$Q$2,
           IF(calc3!B86&lt;=calc1!$H$3,
                  calc1!$N$6-initialize!$Q$2/(calc1!$E$5+1)*(calc3!B86-calc1!$E$3-calc1!$E$4)-(calc1!$E$2+initialize!$Q$2)*2,""))),"")</f>
        <v/>
      </c>
      <c r="H86" s="69" t="str">
        <f>IF(AND(calc3!I86=TRUE,
                         ROUNDUP(calc3!A86/calc1!$N$3,0)&lt;=calc1!$O$3),
      calc1!$O$6-initialize!$Q$3,
      "")</f>
        <v/>
      </c>
      <c r="I86" s="23" t="str">
        <f>IF(AND(calc3!A86&gt;0,
                         calc3!A86&lt;=calc1!$H$2),
      IF(MOD(calc3!A86-1,modify!$B$6)=0,
            TRUE,
            FALSE),
      "")</f>
        <v/>
      </c>
      <c r="J86" s="69" t="str">
        <f>IF(I86=TRUE,
      IF(MOD(calc3!B86,modify!$K$2)=0,
            TRUE,
            FALSE),
      "")</f>
        <v/>
      </c>
      <c r="K86" s="20" t="str">
        <f>IF(I86=TRUE,
   "G0"&amp;
      " Z"&amp;calc1!$U$3&amp;
      " F"&amp; initialize!$W$3&amp;
      CHAR(10)&amp;
    "G0"&amp;
      " X"&amp;E86&amp;
      " Y"&amp;F86&amp;
      " F"&amp; initialize!$W$2&amp;
       REPT(CHAR(9),4)&amp;
       "; move to sample No. "&amp;A86&amp;
      CHAR(10)&amp;
   "G0"&amp;
      " Z"&amp;calc1!$T$3&amp;
      " F"&amp;initialize!$W$3,
 "")</f>
        <v/>
      </c>
      <c r="L86" s="71" t="str">
        <f>IF(calc3!I86=TRUE,
   "G0 "&amp;
      "Z"&amp;calc1!$U$3 &amp;
      " F"&amp;initialize!$W$3&amp;
      CHAR(10)&amp;
   "G0"&amp;
      " X"&amp;calc3!G86&amp;
      " Y"&amp;H86&amp;
      " F"&amp;initialize!$W$2&amp;
       REPT(CHAR(9),4)&amp;
       "; move to spot No."&amp;B86&amp;
      CHAR(10)&amp;
   "G0"&amp;
      " Z"&amp;calc1!$P$6+initialize!$Q$4&amp;
      " F"&amp;initialize!$W$3&amp;
       REPT(CHAR(9),5)&amp;
       "; decrease z-velocity for contact with TLC"&amp;
      CHAR(10)&amp;
   "G0"&amp;
      " Z"&amp;calc1!$P$6&amp;
      " F"&amp;initialize!$W$4,
  "")</f>
        <v/>
      </c>
      <c r="M86" s="20" t="str">
        <f>IF(AND(calc3!J86=TRUE,I87&lt;&gt;"", modify!$K$3&gt;0),
        "; cleaning process"&amp;
         CHAR(10)&amp;
         calc2!$C$8 &amp;
          REPT(
               CHAR(10)&amp;
               calc2!$C$8, modify!$K$3-1),
      "")</f>
        <v/>
      </c>
      <c r="N86" s="71" t="str">
        <f>IF(calc3!I86=TRUE,
      CHAR(10)&amp;
      "; Spot No."&amp;B86&amp;
      CHAR(10)&amp;
             IF(K86="", "", K86)&amp;                        REPLACE(N("rack"),1,1,"")&amp;CHAR(10)&amp;
             IF(calc2!$A$5="","",calc2!$A$5)&amp;        REPLACE(N("retraction"),1,1,"")&amp;CHAR(10)&amp;
             IF(L86="", "", L86)&amp;                           REPLACE(N("TLC"),1,1,"")&amp;CHAR(10)&amp;
             IF(calc2!$B$5="","",calc2!$B$5)&amp;         REPLACE(N("extrusion"),1,1,"")&amp;CHAR(10)&amp;
             IF(calc2!$C$5="","",calc2!$C$5)&amp;         REPLACE(N("waste"),1,1,"")&amp;CHAR(10)&amp;
             IF(M86="", "", M86)&amp;                          REPLACE(N("cleaning process"),1,1,""),
      "")</f>
        <v/>
      </c>
    </row>
    <row r="87" spans="1:14" ht="14.65" customHeight="1">
      <c r="A87" s="19">
        <v>86</v>
      </c>
      <c r="B87" s="69" t="str">
        <f>IF(calc3!I87=TRUE,
      COUNTIF(calc3!$I$2:I87,TRUE),
      "")</f>
        <v/>
      </c>
      <c r="C87" s="44" t="str">
        <f>IF(calc3!I87=TRUE,ROUNDUP(calc3!A87/calc1!$N$3,0),"")</f>
        <v/>
      </c>
      <c r="D87" s="69" t="str">
        <f>IF(calc3!I87=TRUE,MOD((calc3!A87-1),calc1!$N$3),"")</f>
        <v/>
      </c>
      <c r="E87" s="23" t="str">
        <f>IF(AND(calc3!I87=TRUE,
                         C87&lt;=calc1!$O$3),
      INT((calc3!A87-1)/calc1!$N$3)*calc1!$H$5+calc1!$P$3,
      "")</f>
        <v/>
      </c>
      <c r="F87" s="69" t="str">
        <f>IF(AND(calc3!I87=TRUE,
                        C87&lt;=calc1!$O$3),
      IF(
            calc1!$N$3=1,
                  calc1!$Q$3,
            IF(modify!$B$3="s-shape, starting at back left corner",
                  IF(ISODD(C87),
                             calc1!Q$3+D87*calc1!$H$4,
                              calc1!$S$3-D87*calc1!$H$4),
           IF(modify!$B$3="s-shape, starting at front left corner",
                  IF(ISEVEN(C87),
                              calc1!$Q$3+D87*calc1!$H$4,
                              calc1!$S$3-D87*calc1!$H$4),
            IF(modify!$B$3="non alternating, starting at back left corner",
                  calc1!$Q$3+D87*calc1!$H$4,
            IF(modify!$B$3="non alternating, starting at front left corner",
                  calc1!$S$3-D87*calc1!$H$4,
      ""))))),"")</f>
        <v/>
      </c>
      <c r="G87" s="23" t="str">
        <f>IF(calc3!I87=TRUE,
      IF(
            calc3!B87&lt;=calc1!$E$3,
                  calc1!$N$6-initialize!$Q$2/(calc1!$E$3+1)*calc3!B87,
            IF(calc3!B87&lt;=calc1!$E$3+calc1!$E$4,
                  calc1!$N$6-initialize!$Q$2/(calc1!$E$4+1)*(calc3!B87-calc1!$E$3)-calc1!$E$2-initialize!$Q$2,
           IF(calc3!B87&lt;=calc1!$H$3,
                  calc1!$N$6-initialize!$Q$2/(calc1!$E$5+1)*(calc3!B87-calc1!$E$3-calc1!$E$4)-(calc1!$E$2+initialize!$Q$2)*2,""))),"")</f>
        <v/>
      </c>
      <c r="H87" s="69" t="str">
        <f>IF(AND(calc3!I87=TRUE,
                         ROUNDUP(calc3!A87/calc1!$N$3,0)&lt;=calc1!$O$3),
      calc1!$O$6-initialize!$Q$3,
      "")</f>
        <v/>
      </c>
      <c r="I87" s="23" t="str">
        <f>IF(AND(calc3!A87&gt;0,
                         calc3!A87&lt;=calc1!$H$2),
      IF(MOD(calc3!A87-1,modify!$B$6)=0,
            TRUE,
            FALSE),
      "")</f>
        <v/>
      </c>
      <c r="J87" s="69" t="str">
        <f>IF(I87=TRUE,
      IF(MOD(calc3!B87,modify!$K$2)=0,
            TRUE,
            FALSE),
      "")</f>
        <v/>
      </c>
      <c r="K87" s="20" t="str">
        <f>IF(I87=TRUE,
   "G0"&amp;
      " Z"&amp;calc1!$U$3&amp;
      " F"&amp; initialize!$W$3&amp;
      CHAR(10)&amp;
    "G0"&amp;
      " X"&amp;E87&amp;
      " Y"&amp;F87&amp;
      " F"&amp; initialize!$W$2&amp;
       REPT(CHAR(9),4)&amp;
       "; move to sample No. "&amp;A87&amp;
      CHAR(10)&amp;
   "G0"&amp;
      " Z"&amp;calc1!$T$3&amp;
      " F"&amp;initialize!$W$3,
 "")</f>
        <v/>
      </c>
      <c r="L87" s="71" t="str">
        <f>IF(calc3!I87=TRUE,
   "G0 "&amp;
      "Z"&amp;calc1!$U$3 &amp;
      " F"&amp;initialize!$W$3&amp;
      CHAR(10)&amp;
   "G0"&amp;
      " X"&amp;calc3!G87&amp;
      " Y"&amp;H87&amp;
      " F"&amp;initialize!$W$2&amp;
       REPT(CHAR(9),4)&amp;
       "; move to spot No."&amp;B87&amp;
      CHAR(10)&amp;
   "G0"&amp;
      " Z"&amp;calc1!$P$6+initialize!$Q$4&amp;
      " F"&amp;initialize!$W$3&amp;
       REPT(CHAR(9),5)&amp;
       "; decrease z-velocity for contact with TLC"&amp;
      CHAR(10)&amp;
   "G0"&amp;
      " Z"&amp;calc1!$P$6&amp;
      " F"&amp;initialize!$W$4,
  "")</f>
        <v/>
      </c>
      <c r="M87" s="20" t="str">
        <f>IF(AND(calc3!J87=TRUE,I88&lt;&gt;"", modify!$K$3&gt;0),
        "; cleaning process"&amp;
         CHAR(10)&amp;
         calc2!$C$8 &amp;
          REPT(
               CHAR(10)&amp;
               calc2!$C$8, modify!$K$3-1),
      "")</f>
        <v/>
      </c>
      <c r="N87" s="71" t="str">
        <f>IF(calc3!I87=TRUE,
      CHAR(10)&amp;
      "; Spot No."&amp;B87&amp;
      CHAR(10)&amp;
             IF(K87="", "", K87)&amp;                        REPLACE(N("rack"),1,1,"")&amp;CHAR(10)&amp;
             IF(calc2!$A$5="","",calc2!$A$5)&amp;        REPLACE(N("retraction"),1,1,"")&amp;CHAR(10)&amp;
             IF(L87="", "", L87)&amp;                           REPLACE(N("TLC"),1,1,"")&amp;CHAR(10)&amp;
             IF(calc2!$B$5="","",calc2!$B$5)&amp;         REPLACE(N("extrusion"),1,1,"")&amp;CHAR(10)&amp;
             IF(calc2!$C$5="","",calc2!$C$5)&amp;         REPLACE(N("waste"),1,1,"")&amp;CHAR(10)&amp;
             IF(M87="", "", M87)&amp;                          REPLACE(N("cleaning process"),1,1,""),
      "")</f>
        <v/>
      </c>
    </row>
    <row r="88" spans="1:14" ht="14.65" customHeight="1">
      <c r="A88" s="19">
        <v>87</v>
      </c>
      <c r="B88" s="69" t="str">
        <f>IF(calc3!I88=TRUE,
      COUNTIF(calc3!$I$2:I88,TRUE),
      "")</f>
        <v/>
      </c>
      <c r="C88" s="44" t="str">
        <f>IF(calc3!I88=TRUE,ROUNDUP(calc3!A88/calc1!$N$3,0),"")</f>
        <v/>
      </c>
      <c r="D88" s="69" t="str">
        <f>IF(calc3!I88=TRUE,MOD((calc3!A88-1),calc1!$N$3),"")</f>
        <v/>
      </c>
      <c r="E88" s="23" t="str">
        <f>IF(AND(calc3!I88=TRUE,
                         C88&lt;=calc1!$O$3),
      INT((calc3!A88-1)/calc1!$N$3)*calc1!$H$5+calc1!$P$3,
      "")</f>
        <v/>
      </c>
      <c r="F88" s="69" t="str">
        <f>IF(AND(calc3!I88=TRUE,
                        C88&lt;=calc1!$O$3),
      IF(
            calc1!$N$3=1,
                  calc1!$Q$3,
            IF(modify!$B$3="s-shape, starting at back left corner",
                  IF(ISODD(C88),
                             calc1!Q$3+D88*calc1!$H$4,
                              calc1!$S$3-D88*calc1!$H$4),
           IF(modify!$B$3="s-shape, starting at front left corner",
                  IF(ISEVEN(C88),
                              calc1!$Q$3+D88*calc1!$H$4,
                              calc1!$S$3-D88*calc1!$H$4),
            IF(modify!$B$3="non alternating, starting at back left corner",
                  calc1!$Q$3+D88*calc1!$H$4,
            IF(modify!$B$3="non alternating, starting at front left corner",
                  calc1!$S$3-D88*calc1!$H$4,
      ""))))),"")</f>
        <v/>
      </c>
      <c r="G88" s="23" t="str">
        <f>IF(calc3!I88=TRUE,
      IF(
            calc3!B88&lt;=calc1!$E$3,
                  calc1!$N$6-initialize!$Q$2/(calc1!$E$3+1)*calc3!B88,
            IF(calc3!B88&lt;=calc1!$E$3+calc1!$E$4,
                  calc1!$N$6-initialize!$Q$2/(calc1!$E$4+1)*(calc3!B88-calc1!$E$3)-calc1!$E$2-initialize!$Q$2,
           IF(calc3!B88&lt;=calc1!$H$3,
                  calc1!$N$6-initialize!$Q$2/(calc1!$E$5+1)*(calc3!B88-calc1!$E$3-calc1!$E$4)-(calc1!$E$2+initialize!$Q$2)*2,""))),"")</f>
        <v/>
      </c>
      <c r="H88" s="69" t="str">
        <f>IF(AND(calc3!I88=TRUE,
                         ROUNDUP(calc3!A88/calc1!$N$3,0)&lt;=calc1!$O$3),
      calc1!$O$6-initialize!$Q$3,
      "")</f>
        <v/>
      </c>
      <c r="I88" s="23" t="str">
        <f>IF(AND(calc3!A88&gt;0,
                         calc3!A88&lt;=calc1!$H$2),
      IF(MOD(calc3!A88-1,modify!$B$6)=0,
            TRUE,
            FALSE),
      "")</f>
        <v/>
      </c>
      <c r="J88" s="69" t="str">
        <f>IF(I88=TRUE,
      IF(MOD(calc3!B88,modify!$K$2)=0,
            TRUE,
            FALSE),
      "")</f>
        <v/>
      </c>
      <c r="K88" s="20" t="str">
        <f>IF(I88=TRUE,
   "G0"&amp;
      " Z"&amp;calc1!$U$3&amp;
      " F"&amp; initialize!$W$3&amp;
      CHAR(10)&amp;
    "G0"&amp;
      " X"&amp;E88&amp;
      " Y"&amp;F88&amp;
      " F"&amp; initialize!$W$2&amp;
       REPT(CHAR(9),4)&amp;
       "; move to sample No. "&amp;A88&amp;
      CHAR(10)&amp;
   "G0"&amp;
      " Z"&amp;calc1!$T$3&amp;
      " F"&amp;initialize!$W$3,
 "")</f>
        <v/>
      </c>
      <c r="L88" s="71" t="str">
        <f>IF(calc3!I88=TRUE,
   "G0 "&amp;
      "Z"&amp;calc1!$U$3 &amp;
      " F"&amp;initialize!$W$3&amp;
      CHAR(10)&amp;
   "G0"&amp;
      " X"&amp;calc3!G88&amp;
      " Y"&amp;H88&amp;
      " F"&amp;initialize!$W$2&amp;
       REPT(CHAR(9),4)&amp;
       "; move to spot No."&amp;B88&amp;
      CHAR(10)&amp;
   "G0"&amp;
      " Z"&amp;calc1!$P$6+initialize!$Q$4&amp;
      " F"&amp;initialize!$W$3&amp;
       REPT(CHAR(9),5)&amp;
       "; decrease z-velocity for contact with TLC"&amp;
      CHAR(10)&amp;
   "G0"&amp;
      " Z"&amp;calc1!$P$6&amp;
      " F"&amp;initialize!$W$4,
  "")</f>
        <v/>
      </c>
      <c r="M88" s="20" t="str">
        <f>IF(AND(calc3!J88=TRUE,I89&lt;&gt;"", modify!$K$3&gt;0),
        "; cleaning process"&amp;
         CHAR(10)&amp;
         calc2!$C$8 &amp;
          REPT(
               CHAR(10)&amp;
               calc2!$C$8, modify!$K$3-1),
      "")</f>
        <v/>
      </c>
      <c r="N88" s="71" t="str">
        <f>IF(calc3!I88=TRUE,
      CHAR(10)&amp;
      "; Spot No."&amp;B88&amp;
      CHAR(10)&amp;
             IF(K88="", "", K88)&amp;                        REPLACE(N("rack"),1,1,"")&amp;CHAR(10)&amp;
             IF(calc2!$A$5="","",calc2!$A$5)&amp;        REPLACE(N("retraction"),1,1,"")&amp;CHAR(10)&amp;
             IF(L88="", "", L88)&amp;                           REPLACE(N("TLC"),1,1,"")&amp;CHAR(10)&amp;
             IF(calc2!$B$5="","",calc2!$B$5)&amp;         REPLACE(N("extrusion"),1,1,"")&amp;CHAR(10)&amp;
             IF(calc2!$C$5="","",calc2!$C$5)&amp;         REPLACE(N("waste"),1,1,"")&amp;CHAR(10)&amp;
             IF(M88="", "", M88)&amp;                          REPLACE(N("cleaning process"),1,1,""),
      "")</f>
        <v/>
      </c>
    </row>
    <row r="89" spans="1:14" ht="14.65" customHeight="1">
      <c r="A89" s="19">
        <v>88</v>
      </c>
      <c r="B89" s="69" t="str">
        <f>IF(calc3!I89=TRUE,
      COUNTIF(calc3!$I$2:I89,TRUE),
      "")</f>
        <v/>
      </c>
      <c r="C89" s="44" t="str">
        <f>IF(calc3!I89=TRUE,ROUNDUP(calc3!A89/calc1!$N$3,0),"")</f>
        <v/>
      </c>
      <c r="D89" s="69" t="str">
        <f>IF(calc3!I89=TRUE,MOD((calc3!A89-1),calc1!$N$3),"")</f>
        <v/>
      </c>
      <c r="E89" s="23" t="str">
        <f>IF(AND(calc3!I89=TRUE,
                         C89&lt;=calc1!$O$3),
      INT((calc3!A89-1)/calc1!$N$3)*calc1!$H$5+calc1!$P$3,
      "")</f>
        <v/>
      </c>
      <c r="F89" s="69" t="str">
        <f>IF(AND(calc3!I89=TRUE,
                        C89&lt;=calc1!$O$3),
      IF(
            calc1!$N$3=1,
                  calc1!$Q$3,
            IF(modify!$B$3="s-shape, starting at back left corner",
                  IF(ISODD(C89),
                             calc1!Q$3+D89*calc1!$H$4,
                              calc1!$S$3-D89*calc1!$H$4),
           IF(modify!$B$3="s-shape, starting at front left corner",
                  IF(ISEVEN(C89),
                              calc1!$Q$3+D89*calc1!$H$4,
                              calc1!$S$3-D89*calc1!$H$4),
            IF(modify!$B$3="non alternating, starting at back left corner",
                  calc1!$Q$3+D89*calc1!$H$4,
            IF(modify!$B$3="non alternating, starting at front left corner",
                  calc1!$S$3-D89*calc1!$H$4,
      ""))))),"")</f>
        <v/>
      </c>
      <c r="G89" s="23" t="str">
        <f>IF(calc3!I89=TRUE,
      IF(
            calc3!B89&lt;=calc1!$E$3,
                  calc1!$N$6-initialize!$Q$2/(calc1!$E$3+1)*calc3!B89,
            IF(calc3!B89&lt;=calc1!$E$3+calc1!$E$4,
                  calc1!$N$6-initialize!$Q$2/(calc1!$E$4+1)*(calc3!B89-calc1!$E$3)-calc1!$E$2-initialize!$Q$2,
           IF(calc3!B89&lt;=calc1!$H$3,
                  calc1!$N$6-initialize!$Q$2/(calc1!$E$5+1)*(calc3!B89-calc1!$E$3-calc1!$E$4)-(calc1!$E$2+initialize!$Q$2)*2,""))),"")</f>
        <v/>
      </c>
      <c r="H89" s="69" t="str">
        <f>IF(AND(calc3!I89=TRUE,
                         ROUNDUP(calc3!A89/calc1!$N$3,0)&lt;=calc1!$O$3),
      calc1!$O$6-initialize!$Q$3,
      "")</f>
        <v/>
      </c>
      <c r="I89" s="23" t="str">
        <f>IF(AND(calc3!A89&gt;0,
                         calc3!A89&lt;=calc1!$H$2),
      IF(MOD(calc3!A89-1,modify!$B$6)=0,
            TRUE,
            FALSE),
      "")</f>
        <v/>
      </c>
      <c r="J89" s="69" t="str">
        <f>IF(I89=TRUE,
      IF(MOD(calc3!B89,modify!$K$2)=0,
            TRUE,
            FALSE),
      "")</f>
        <v/>
      </c>
      <c r="K89" s="20" t="str">
        <f>IF(I89=TRUE,
   "G0"&amp;
      " Z"&amp;calc1!$U$3&amp;
      " F"&amp; initialize!$W$3&amp;
      CHAR(10)&amp;
    "G0"&amp;
      " X"&amp;E89&amp;
      " Y"&amp;F89&amp;
      " F"&amp; initialize!$W$2&amp;
       REPT(CHAR(9),4)&amp;
       "; move to sample No. "&amp;A89&amp;
      CHAR(10)&amp;
   "G0"&amp;
      " Z"&amp;calc1!$T$3&amp;
      " F"&amp;initialize!$W$3,
 "")</f>
        <v/>
      </c>
      <c r="L89" s="71" t="str">
        <f>IF(calc3!I89=TRUE,
   "G0 "&amp;
      "Z"&amp;calc1!$U$3 &amp;
      " F"&amp;initialize!$W$3&amp;
      CHAR(10)&amp;
   "G0"&amp;
      " X"&amp;calc3!G89&amp;
      " Y"&amp;H89&amp;
      " F"&amp;initialize!$W$2&amp;
       REPT(CHAR(9),4)&amp;
       "; move to spot No."&amp;B89&amp;
      CHAR(10)&amp;
   "G0"&amp;
      " Z"&amp;calc1!$P$6+initialize!$Q$4&amp;
      " F"&amp;initialize!$W$3&amp;
       REPT(CHAR(9),5)&amp;
       "; decrease z-velocity for contact with TLC"&amp;
      CHAR(10)&amp;
   "G0"&amp;
      " Z"&amp;calc1!$P$6&amp;
      " F"&amp;initialize!$W$4,
  "")</f>
        <v/>
      </c>
      <c r="M89" s="20" t="str">
        <f>IF(AND(calc3!J89=TRUE,I90&lt;&gt;"", modify!$K$3&gt;0),
        "; cleaning process"&amp;
         CHAR(10)&amp;
         calc2!$C$8 &amp;
          REPT(
               CHAR(10)&amp;
               calc2!$C$8, modify!$K$3-1),
      "")</f>
        <v/>
      </c>
      <c r="N89" s="71" t="str">
        <f>IF(calc3!I89=TRUE,
      CHAR(10)&amp;
      "; Spot No."&amp;B89&amp;
      CHAR(10)&amp;
             IF(K89="", "", K89)&amp;                        REPLACE(N("rack"),1,1,"")&amp;CHAR(10)&amp;
             IF(calc2!$A$5="","",calc2!$A$5)&amp;        REPLACE(N("retraction"),1,1,"")&amp;CHAR(10)&amp;
             IF(L89="", "", L89)&amp;                           REPLACE(N("TLC"),1,1,"")&amp;CHAR(10)&amp;
             IF(calc2!$B$5="","",calc2!$B$5)&amp;         REPLACE(N("extrusion"),1,1,"")&amp;CHAR(10)&amp;
             IF(calc2!$C$5="","",calc2!$C$5)&amp;         REPLACE(N("waste"),1,1,"")&amp;CHAR(10)&amp;
             IF(M89="", "", M89)&amp;                          REPLACE(N("cleaning process"),1,1,""),
      "")</f>
        <v/>
      </c>
    </row>
    <row r="90" spans="1:14" ht="14.65" customHeight="1">
      <c r="A90" s="19">
        <v>89</v>
      </c>
      <c r="B90" s="69" t="str">
        <f>IF(calc3!I90=TRUE,
      COUNTIF(calc3!$I$2:I90,TRUE),
      "")</f>
        <v/>
      </c>
      <c r="C90" s="44" t="str">
        <f>IF(calc3!I90=TRUE,ROUNDUP(calc3!A90/calc1!$N$3,0),"")</f>
        <v/>
      </c>
      <c r="D90" s="69" t="str">
        <f>IF(calc3!I90=TRUE,MOD((calc3!A90-1),calc1!$N$3),"")</f>
        <v/>
      </c>
      <c r="E90" s="23" t="str">
        <f>IF(AND(calc3!I90=TRUE,
                         C90&lt;=calc1!$O$3),
      INT((calc3!A90-1)/calc1!$N$3)*calc1!$H$5+calc1!$P$3,
      "")</f>
        <v/>
      </c>
      <c r="F90" s="69" t="str">
        <f>IF(AND(calc3!I90=TRUE,
                        C90&lt;=calc1!$O$3),
      IF(
            calc1!$N$3=1,
                  calc1!$Q$3,
            IF(modify!$B$3="s-shape, starting at back left corner",
                  IF(ISODD(C90),
                             calc1!Q$3+D90*calc1!$H$4,
                              calc1!$S$3-D90*calc1!$H$4),
           IF(modify!$B$3="s-shape, starting at front left corner",
                  IF(ISEVEN(C90),
                              calc1!$Q$3+D90*calc1!$H$4,
                              calc1!$S$3-D90*calc1!$H$4),
            IF(modify!$B$3="non alternating, starting at back left corner",
                  calc1!$Q$3+D90*calc1!$H$4,
            IF(modify!$B$3="non alternating, starting at front left corner",
                  calc1!$S$3-D90*calc1!$H$4,
      ""))))),"")</f>
        <v/>
      </c>
      <c r="G90" s="23" t="str">
        <f>IF(calc3!I90=TRUE,
      IF(
            calc3!B90&lt;=calc1!$E$3,
                  calc1!$N$6-initialize!$Q$2/(calc1!$E$3+1)*calc3!B90,
            IF(calc3!B90&lt;=calc1!$E$3+calc1!$E$4,
                  calc1!$N$6-initialize!$Q$2/(calc1!$E$4+1)*(calc3!B90-calc1!$E$3)-calc1!$E$2-initialize!$Q$2,
           IF(calc3!B90&lt;=calc1!$H$3,
                  calc1!$N$6-initialize!$Q$2/(calc1!$E$5+1)*(calc3!B90-calc1!$E$3-calc1!$E$4)-(calc1!$E$2+initialize!$Q$2)*2,""))),"")</f>
        <v/>
      </c>
      <c r="H90" s="69" t="str">
        <f>IF(AND(calc3!I90=TRUE,
                         ROUNDUP(calc3!A90/calc1!$N$3,0)&lt;=calc1!$O$3),
      calc1!$O$6-initialize!$Q$3,
      "")</f>
        <v/>
      </c>
      <c r="I90" s="23" t="str">
        <f>IF(AND(calc3!A90&gt;0,
                         calc3!A90&lt;=calc1!$H$2),
      IF(MOD(calc3!A90-1,modify!$B$6)=0,
            TRUE,
            FALSE),
      "")</f>
        <v/>
      </c>
      <c r="J90" s="69" t="str">
        <f>IF(I90=TRUE,
      IF(MOD(calc3!B90,modify!$K$2)=0,
            TRUE,
            FALSE),
      "")</f>
        <v/>
      </c>
      <c r="K90" s="20" t="str">
        <f>IF(I90=TRUE,
   "G0"&amp;
      " Z"&amp;calc1!$U$3&amp;
      " F"&amp; initialize!$W$3&amp;
      CHAR(10)&amp;
    "G0"&amp;
      " X"&amp;E90&amp;
      " Y"&amp;F90&amp;
      " F"&amp; initialize!$W$2&amp;
       REPT(CHAR(9),4)&amp;
       "; move to sample No. "&amp;A90&amp;
      CHAR(10)&amp;
   "G0"&amp;
      " Z"&amp;calc1!$T$3&amp;
      " F"&amp;initialize!$W$3,
 "")</f>
        <v/>
      </c>
      <c r="L90" s="71" t="str">
        <f>IF(calc3!I90=TRUE,
   "G0 "&amp;
      "Z"&amp;calc1!$U$3 &amp;
      " F"&amp;initialize!$W$3&amp;
      CHAR(10)&amp;
   "G0"&amp;
      " X"&amp;calc3!G90&amp;
      " Y"&amp;H90&amp;
      " F"&amp;initialize!$W$2&amp;
       REPT(CHAR(9),4)&amp;
       "; move to spot No."&amp;B90&amp;
      CHAR(10)&amp;
   "G0"&amp;
      " Z"&amp;calc1!$P$6+initialize!$Q$4&amp;
      " F"&amp;initialize!$W$3&amp;
       REPT(CHAR(9),5)&amp;
       "; decrease z-velocity for contact with TLC"&amp;
      CHAR(10)&amp;
   "G0"&amp;
      " Z"&amp;calc1!$P$6&amp;
      " F"&amp;initialize!$W$4,
  "")</f>
        <v/>
      </c>
      <c r="M90" s="20" t="str">
        <f>IF(AND(calc3!J90=TRUE,I91&lt;&gt;"", modify!$K$3&gt;0),
        "; cleaning process"&amp;
         CHAR(10)&amp;
         calc2!$C$8 &amp;
          REPT(
               CHAR(10)&amp;
               calc2!$C$8, modify!$K$3-1),
      "")</f>
        <v/>
      </c>
      <c r="N90" s="71" t="str">
        <f>IF(calc3!I90=TRUE,
      CHAR(10)&amp;
      "; Spot No."&amp;B90&amp;
      CHAR(10)&amp;
             IF(K90="", "", K90)&amp;                        REPLACE(N("rack"),1,1,"")&amp;CHAR(10)&amp;
             IF(calc2!$A$5="","",calc2!$A$5)&amp;        REPLACE(N("retraction"),1,1,"")&amp;CHAR(10)&amp;
             IF(L90="", "", L90)&amp;                           REPLACE(N("TLC"),1,1,"")&amp;CHAR(10)&amp;
             IF(calc2!$B$5="","",calc2!$B$5)&amp;         REPLACE(N("extrusion"),1,1,"")&amp;CHAR(10)&amp;
             IF(calc2!$C$5="","",calc2!$C$5)&amp;         REPLACE(N("waste"),1,1,"")&amp;CHAR(10)&amp;
             IF(M90="", "", M90)&amp;                          REPLACE(N("cleaning process"),1,1,""),
      "")</f>
        <v/>
      </c>
    </row>
    <row r="91" spans="1:14" ht="14.65" customHeight="1">
      <c r="A91" s="19">
        <v>90</v>
      </c>
      <c r="B91" s="69" t="str">
        <f>IF(calc3!I91=TRUE,
      COUNTIF(calc3!$I$2:I91,TRUE),
      "")</f>
        <v/>
      </c>
      <c r="C91" s="44" t="str">
        <f>IF(calc3!I91=TRUE,ROUNDUP(calc3!A91/calc1!$N$3,0),"")</f>
        <v/>
      </c>
      <c r="D91" s="69" t="str">
        <f>IF(calc3!I91=TRUE,MOD((calc3!A91-1),calc1!$N$3),"")</f>
        <v/>
      </c>
      <c r="E91" s="23" t="str">
        <f>IF(AND(calc3!I91=TRUE,
                         C91&lt;=calc1!$O$3),
      INT((calc3!A91-1)/calc1!$N$3)*calc1!$H$5+calc1!$P$3,
      "")</f>
        <v/>
      </c>
      <c r="F91" s="69" t="str">
        <f>IF(AND(calc3!I91=TRUE,
                        C91&lt;=calc1!$O$3),
      IF(
            calc1!$N$3=1,
                  calc1!$Q$3,
            IF(modify!$B$3="s-shape, starting at back left corner",
                  IF(ISODD(C91),
                             calc1!Q$3+D91*calc1!$H$4,
                              calc1!$S$3-D91*calc1!$H$4),
           IF(modify!$B$3="s-shape, starting at front left corner",
                  IF(ISEVEN(C91),
                              calc1!$Q$3+D91*calc1!$H$4,
                              calc1!$S$3-D91*calc1!$H$4),
            IF(modify!$B$3="non alternating, starting at back left corner",
                  calc1!$Q$3+D91*calc1!$H$4,
            IF(modify!$B$3="non alternating, starting at front left corner",
                  calc1!$S$3-D91*calc1!$H$4,
      ""))))),"")</f>
        <v/>
      </c>
      <c r="G91" s="23" t="str">
        <f>IF(calc3!I91=TRUE,
      IF(
            calc3!B91&lt;=calc1!$E$3,
                  calc1!$N$6-initialize!$Q$2/(calc1!$E$3+1)*calc3!B91,
            IF(calc3!B91&lt;=calc1!$E$3+calc1!$E$4,
                  calc1!$N$6-initialize!$Q$2/(calc1!$E$4+1)*(calc3!B91-calc1!$E$3)-calc1!$E$2-initialize!$Q$2,
           IF(calc3!B91&lt;=calc1!$H$3,
                  calc1!$N$6-initialize!$Q$2/(calc1!$E$5+1)*(calc3!B91-calc1!$E$3-calc1!$E$4)-(calc1!$E$2+initialize!$Q$2)*2,""))),"")</f>
        <v/>
      </c>
      <c r="H91" s="69" t="str">
        <f>IF(AND(calc3!I91=TRUE,
                         ROUNDUP(calc3!A91/calc1!$N$3,0)&lt;=calc1!$O$3),
      calc1!$O$6-initialize!$Q$3,
      "")</f>
        <v/>
      </c>
      <c r="I91" s="23" t="str">
        <f>IF(AND(calc3!A91&gt;0,
                         calc3!A91&lt;=calc1!$H$2),
      IF(MOD(calc3!A91-1,modify!$B$6)=0,
            TRUE,
            FALSE),
      "")</f>
        <v/>
      </c>
      <c r="J91" s="69" t="str">
        <f>IF(I91=TRUE,
      IF(MOD(calc3!B91,modify!$K$2)=0,
            TRUE,
            FALSE),
      "")</f>
        <v/>
      </c>
      <c r="K91" s="20" t="str">
        <f>IF(I91=TRUE,
   "G0"&amp;
      " Z"&amp;calc1!$U$3&amp;
      " F"&amp; initialize!$W$3&amp;
      CHAR(10)&amp;
    "G0"&amp;
      " X"&amp;E91&amp;
      " Y"&amp;F91&amp;
      " F"&amp; initialize!$W$2&amp;
       REPT(CHAR(9),4)&amp;
       "; move to sample No. "&amp;A91&amp;
      CHAR(10)&amp;
   "G0"&amp;
      " Z"&amp;calc1!$T$3&amp;
      " F"&amp;initialize!$W$3,
 "")</f>
        <v/>
      </c>
      <c r="L91" s="71" t="str">
        <f>IF(calc3!I91=TRUE,
   "G0 "&amp;
      "Z"&amp;calc1!$U$3 &amp;
      " F"&amp;initialize!$W$3&amp;
      CHAR(10)&amp;
   "G0"&amp;
      " X"&amp;calc3!G91&amp;
      " Y"&amp;H91&amp;
      " F"&amp;initialize!$W$2&amp;
       REPT(CHAR(9),4)&amp;
       "; move to spot No."&amp;B91&amp;
      CHAR(10)&amp;
   "G0"&amp;
      " Z"&amp;calc1!$P$6+initialize!$Q$4&amp;
      " F"&amp;initialize!$W$3&amp;
       REPT(CHAR(9),5)&amp;
       "; decrease z-velocity for contact with TLC"&amp;
      CHAR(10)&amp;
   "G0"&amp;
      " Z"&amp;calc1!$P$6&amp;
      " F"&amp;initialize!$W$4,
  "")</f>
        <v/>
      </c>
      <c r="M91" s="20" t="str">
        <f>IF(AND(calc3!J91=TRUE,I92&lt;&gt;"", modify!$K$3&gt;0),
        "; cleaning process"&amp;
         CHAR(10)&amp;
         calc2!$C$8 &amp;
          REPT(
               CHAR(10)&amp;
               calc2!$C$8, modify!$K$3-1),
      "")</f>
        <v/>
      </c>
      <c r="N91" s="71" t="str">
        <f>IF(calc3!I91=TRUE,
      CHAR(10)&amp;
      "; Spot No."&amp;B91&amp;
      CHAR(10)&amp;
             IF(K91="", "", K91)&amp;                        REPLACE(N("rack"),1,1,"")&amp;CHAR(10)&amp;
             IF(calc2!$A$5="","",calc2!$A$5)&amp;        REPLACE(N("retraction"),1,1,"")&amp;CHAR(10)&amp;
             IF(L91="", "", L91)&amp;                           REPLACE(N("TLC"),1,1,"")&amp;CHAR(10)&amp;
             IF(calc2!$B$5="","",calc2!$B$5)&amp;         REPLACE(N("extrusion"),1,1,"")&amp;CHAR(10)&amp;
             IF(calc2!$C$5="","",calc2!$C$5)&amp;         REPLACE(N("waste"),1,1,"")&amp;CHAR(10)&amp;
             IF(M91="", "", M91)&amp;                          REPLACE(N("cleaning process"),1,1,""),
      "")</f>
        <v/>
      </c>
    </row>
    <row r="92" spans="1:14" ht="14.65" customHeight="1">
      <c r="A92" s="19">
        <v>91</v>
      </c>
      <c r="B92" s="69" t="str">
        <f>IF(calc3!I92=TRUE,
      COUNTIF(calc3!$I$2:I92,TRUE),
      "")</f>
        <v/>
      </c>
      <c r="C92" s="44" t="str">
        <f>IF(calc3!I92=TRUE,ROUNDUP(calc3!A92/calc1!$N$3,0),"")</f>
        <v/>
      </c>
      <c r="D92" s="69" t="str">
        <f>IF(calc3!I92=TRUE,MOD((calc3!A92-1),calc1!$N$3),"")</f>
        <v/>
      </c>
      <c r="E92" s="23" t="str">
        <f>IF(AND(calc3!I92=TRUE,
                         C92&lt;=calc1!$O$3),
      INT((calc3!A92-1)/calc1!$N$3)*calc1!$H$5+calc1!$P$3,
      "")</f>
        <v/>
      </c>
      <c r="F92" s="69" t="str">
        <f>IF(AND(calc3!I92=TRUE,
                        C92&lt;=calc1!$O$3),
      IF(
            calc1!$N$3=1,
                  calc1!$Q$3,
            IF(modify!$B$3="s-shape, starting at back left corner",
                  IF(ISODD(C92),
                             calc1!Q$3+D92*calc1!$H$4,
                              calc1!$S$3-D92*calc1!$H$4),
           IF(modify!$B$3="s-shape, starting at front left corner",
                  IF(ISEVEN(C92),
                              calc1!$Q$3+D92*calc1!$H$4,
                              calc1!$S$3-D92*calc1!$H$4),
            IF(modify!$B$3="non alternating, starting at back left corner",
                  calc1!$Q$3+D92*calc1!$H$4,
            IF(modify!$B$3="non alternating, starting at front left corner",
                  calc1!$S$3-D92*calc1!$H$4,
      ""))))),"")</f>
        <v/>
      </c>
      <c r="G92" s="23" t="str">
        <f>IF(calc3!I92=TRUE,
      IF(
            calc3!B92&lt;=calc1!$E$3,
                  calc1!$N$6-initialize!$Q$2/(calc1!$E$3+1)*calc3!B92,
            IF(calc3!B92&lt;=calc1!$E$3+calc1!$E$4,
                  calc1!$N$6-initialize!$Q$2/(calc1!$E$4+1)*(calc3!B92-calc1!$E$3)-calc1!$E$2-initialize!$Q$2,
           IF(calc3!B92&lt;=calc1!$H$3,
                  calc1!$N$6-initialize!$Q$2/(calc1!$E$5+1)*(calc3!B92-calc1!$E$3-calc1!$E$4)-(calc1!$E$2+initialize!$Q$2)*2,""))),"")</f>
        <v/>
      </c>
      <c r="H92" s="69" t="str">
        <f>IF(AND(calc3!I92=TRUE,
                         ROUNDUP(calc3!A92/calc1!$N$3,0)&lt;=calc1!$O$3),
      calc1!$O$6-initialize!$Q$3,
      "")</f>
        <v/>
      </c>
      <c r="I92" s="23" t="str">
        <f>IF(AND(calc3!A92&gt;0,
                         calc3!A92&lt;=calc1!$H$2),
      IF(MOD(calc3!A92-1,modify!$B$6)=0,
            TRUE,
            FALSE),
      "")</f>
        <v/>
      </c>
      <c r="J92" s="69" t="str">
        <f>IF(I92=TRUE,
      IF(MOD(calc3!B92,modify!$K$2)=0,
            TRUE,
            FALSE),
      "")</f>
        <v/>
      </c>
      <c r="K92" s="20" t="str">
        <f>IF(I92=TRUE,
   "G0"&amp;
      " Z"&amp;calc1!$U$3&amp;
      " F"&amp; initialize!$W$3&amp;
      CHAR(10)&amp;
    "G0"&amp;
      " X"&amp;E92&amp;
      " Y"&amp;F92&amp;
      " F"&amp; initialize!$W$2&amp;
       REPT(CHAR(9),4)&amp;
       "; move to sample No. "&amp;A92&amp;
      CHAR(10)&amp;
   "G0"&amp;
      " Z"&amp;calc1!$T$3&amp;
      " F"&amp;initialize!$W$3,
 "")</f>
        <v/>
      </c>
      <c r="L92" s="71" t="str">
        <f>IF(calc3!I92=TRUE,
   "G0 "&amp;
      "Z"&amp;calc1!$U$3 &amp;
      " F"&amp;initialize!$W$3&amp;
      CHAR(10)&amp;
   "G0"&amp;
      " X"&amp;calc3!G92&amp;
      " Y"&amp;H92&amp;
      " F"&amp;initialize!$W$2&amp;
       REPT(CHAR(9),4)&amp;
       "; move to spot No."&amp;B92&amp;
      CHAR(10)&amp;
   "G0"&amp;
      " Z"&amp;calc1!$P$6+initialize!$Q$4&amp;
      " F"&amp;initialize!$W$3&amp;
       REPT(CHAR(9),5)&amp;
       "; decrease z-velocity for contact with TLC"&amp;
      CHAR(10)&amp;
   "G0"&amp;
      " Z"&amp;calc1!$P$6&amp;
      " F"&amp;initialize!$W$4,
  "")</f>
        <v/>
      </c>
      <c r="M92" s="20" t="str">
        <f>IF(AND(calc3!J92=TRUE,I93&lt;&gt;"", modify!$K$3&gt;0),
        "; cleaning process"&amp;
         CHAR(10)&amp;
         calc2!$C$8 &amp;
          REPT(
               CHAR(10)&amp;
               calc2!$C$8, modify!$K$3-1),
      "")</f>
        <v/>
      </c>
      <c r="N92" s="71" t="str">
        <f>IF(calc3!I92=TRUE,
      CHAR(10)&amp;
      "; Spot No."&amp;B92&amp;
      CHAR(10)&amp;
             IF(K92="", "", K92)&amp;                        REPLACE(N("rack"),1,1,"")&amp;CHAR(10)&amp;
             IF(calc2!$A$5="","",calc2!$A$5)&amp;        REPLACE(N("retraction"),1,1,"")&amp;CHAR(10)&amp;
             IF(L92="", "", L92)&amp;                           REPLACE(N("TLC"),1,1,"")&amp;CHAR(10)&amp;
             IF(calc2!$B$5="","",calc2!$B$5)&amp;         REPLACE(N("extrusion"),1,1,"")&amp;CHAR(10)&amp;
             IF(calc2!$C$5="","",calc2!$C$5)&amp;         REPLACE(N("waste"),1,1,"")&amp;CHAR(10)&amp;
             IF(M92="", "", M92)&amp;                          REPLACE(N("cleaning process"),1,1,""),
      "")</f>
        <v/>
      </c>
    </row>
    <row r="93" spans="1:14" ht="14.65" customHeight="1">
      <c r="A93" s="19">
        <v>92</v>
      </c>
      <c r="B93" s="69" t="str">
        <f>IF(calc3!I93=TRUE,
      COUNTIF(calc3!$I$2:I93,TRUE),
      "")</f>
        <v/>
      </c>
      <c r="C93" s="44" t="str">
        <f>IF(calc3!I93=TRUE,ROUNDUP(calc3!A93/calc1!$N$3,0),"")</f>
        <v/>
      </c>
      <c r="D93" s="69" t="str">
        <f>IF(calc3!I93=TRUE,MOD((calc3!A93-1),calc1!$N$3),"")</f>
        <v/>
      </c>
      <c r="E93" s="23" t="str">
        <f>IF(AND(calc3!I93=TRUE,
                         C93&lt;=calc1!$O$3),
      INT((calc3!A93-1)/calc1!$N$3)*calc1!$H$5+calc1!$P$3,
      "")</f>
        <v/>
      </c>
      <c r="F93" s="69" t="str">
        <f>IF(AND(calc3!I93=TRUE,
                        C93&lt;=calc1!$O$3),
      IF(
            calc1!$N$3=1,
                  calc1!$Q$3,
            IF(modify!$B$3="s-shape, starting at back left corner",
                  IF(ISODD(C93),
                             calc1!Q$3+D93*calc1!$H$4,
                              calc1!$S$3-D93*calc1!$H$4),
           IF(modify!$B$3="s-shape, starting at front left corner",
                  IF(ISEVEN(C93),
                              calc1!$Q$3+D93*calc1!$H$4,
                              calc1!$S$3-D93*calc1!$H$4),
            IF(modify!$B$3="non alternating, starting at back left corner",
                  calc1!$Q$3+D93*calc1!$H$4,
            IF(modify!$B$3="non alternating, starting at front left corner",
                  calc1!$S$3-D93*calc1!$H$4,
      ""))))),"")</f>
        <v/>
      </c>
      <c r="G93" s="23" t="str">
        <f>IF(calc3!I93=TRUE,
      IF(
            calc3!B93&lt;=calc1!$E$3,
                  calc1!$N$6-initialize!$Q$2/(calc1!$E$3+1)*calc3!B93,
            IF(calc3!B93&lt;=calc1!$E$3+calc1!$E$4,
                  calc1!$N$6-initialize!$Q$2/(calc1!$E$4+1)*(calc3!B93-calc1!$E$3)-calc1!$E$2-initialize!$Q$2,
           IF(calc3!B93&lt;=calc1!$H$3,
                  calc1!$N$6-initialize!$Q$2/(calc1!$E$5+1)*(calc3!B93-calc1!$E$3-calc1!$E$4)-(calc1!$E$2+initialize!$Q$2)*2,""))),"")</f>
        <v/>
      </c>
      <c r="H93" s="69" t="str">
        <f>IF(AND(calc3!I93=TRUE,
                         ROUNDUP(calc3!A93/calc1!$N$3,0)&lt;=calc1!$O$3),
      calc1!$O$6-initialize!$Q$3,
      "")</f>
        <v/>
      </c>
      <c r="I93" s="23" t="str">
        <f>IF(AND(calc3!A93&gt;0,
                         calc3!A93&lt;=calc1!$H$2),
      IF(MOD(calc3!A93-1,modify!$B$6)=0,
            TRUE,
            FALSE),
      "")</f>
        <v/>
      </c>
      <c r="J93" s="69" t="str">
        <f>IF(I93=TRUE,
      IF(MOD(calc3!B93,modify!$K$2)=0,
            TRUE,
            FALSE),
      "")</f>
        <v/>
      </c>
      <c r="K93" s="20" t="str">
        <f>IF(I93=TRUE,
   "G0"&amp;
      " Z"&amp;calc1!$U$3&amp;
      " F"&amp; initialize!$W$3&amp;
      CHAR(10)&amp;
    "G0"&amp;
      " X"&amp;E93&amp;
      " Y"&amp;F93&amp;
      " F"&amp; initialize!$W$2&amp;
       REPT(CHAR(9),4)&amp;
       "; move to sample No. "&amp;A93&amp;
      CHAR(10)&amp;
   "G0"&amp;
      " Z"&amp;calc1!$T$3&amp;
      " F"&amp;initialize!$W$3,
 "")</f>
        <v/>
      </c>
      <c r="L93" s="71" t="str">
        <f>IF(calc3!I93=TRUE,
   "G0 "&amp;
      "Z"&amp;calc1!$U$3 &amp;
      " F"&amp;initialize!$W$3&amp;
      CHAR(10)&amp;
   "G0"&amp;
      " X"&amp;calc3!G93&amp;
      " Y"&amp;H93&amp;
      " F"&amp;initialize!$W$2&amp;
       REPT(CHAR(9),4)&amp;
       "; move to spot No."&amp;B93&amp;
      CHAR(10)&amp;
   "G0"&amp;
      " Z"&amp;calc1!$P$6+initialize!$Q$4&amp;
      " F"&amp;initialize!$W$3&amp;
       REPT(CHAR(9),5)&amp;
       "; decrease z-velocity for contact with TLC"&amp;
      CHAR(10)&amp;
   "G0"&amp;
      " Z"&amp;calc1!$P$6&amp;
      " F"&amp;initialize!$W$4,
  "")</f>
        <v/>
      </c>
      <c r="M93" s="20" t="str">
        <f>IF(AND(calc3!J93=TRUE,I94&lt;&gt;"", modify!$K$3&gt;0),
        "; cleaning process"&amp;
         CHAR(10)&amp;
         calc2!$C$8 &amp;
          REPT(
               CHAR(10)&amp;
               calc2!$C$8, modify!$K$3-1),
      "")</f>
        <v/>
      </c>
      <c r="N93" s="71" t="str">
        <f>IF(calc3!I93=TRUE,
      CHAR(10)&amp;
      "; Spot No."&amp;B93&amp;
      CHAR(10)&amp;
             IF(K93="", "", K93)&amp;                        REPLACE(N("rack"),1,1,"")&amp;CHAR(10)&amp;
             IF(calc2!$A$5="","",calc2!$A$5)&amp;        REPLACE(N("retraction"),1,1,"")&amp;CHAR(10)&amp;
             IF(L93="", "", L93)&amp;                           REPLACE(N("TLC"),1,1,"")&amp;CHAR(10)&amp;
             IF(calc2!$B$5="","",calc2!$B$5)&amp;         REPLACE(N("extrusion"),1,1,"")&amp;CHAR(10)&amp;
             IF(calc2!$C$5="","",calc2!$C$5)&amp;         REPLACE(N("waste"),1,1,"")&amp;CHAR(10)&amp;
             IF(M93="", "", M93)&amp;                          REPLACE(N("cleaning process"),1,1,""),
      "")</f>
        <v/>
      </c>
    </row>
    <row r="94" spans="1:14" ht="14.65" customHeight="1">
      <c r="A94" s="19">
        <v>93</v>
      </c>
      <c r="B94" s="69" t="str">
        <f>IF(calc3!I94=TRUE,
      COUNTIF(calc3!$I$2:I94,TRUE),
      "")</f>
        <v/>
      </c>
      <c r="C94" s="44" t="str">
        <f>IF(calc3!I94=TRUE,ROUNDUP(calc3!A94/calc1!$N$3,0),"")</f>
        <v/>
      </c>
      <c r="D94" s="69" t="str">
        <f>IF(calc3!I94=TRUE,MOD((calc3!A94-1),calc1!$N$3),"")</f>
        <v/>
      </c>
      <c r="E94" s="23" t="str">
        <f>IF(AND(calc3!I94=TRUE,
                         C94&lt;=calc1!$O$3),
      INT((calc3!A94-1)/calc1!$N$3)*calc1!$H$5+calc1!$P$3,
      "")</f>
        <v/>
      </c>
      <c r="F94" s="69" t="str">
        <f>IF(AND(calc3!I94=TRUE,
                        C94&lt;=calc1!$O$3),
      IF(
            calc1!$N$3=1,
                  calc1!$Q$3,
            IF(modify!$B$3="s-shape, starting at back left corner",
                  IF(ISODD(C94),
                             calc1!Q$3+D94*calc1!$H$4,
                              calc1!$S$3-D94*calc1!$H$4),
           IF(modify!$B$3="s-shape, starting at front left corner",
                  IF(ISEVEN(C94),
                              calc1!$Q$3+D94*calc1!$H$4,
                              calc1!$S$3-D94*calc1!$H$4),
            IF(modify!$B$3="non alternating, starting at back left corner",
                  calc1!$Q$3+D94*calc1!$H$4,
            IF(modify!$B$3="non alternating, starting at front left corner",
                  calc1!$S$3-D94*calc1!$H$4,
      ""))))),"")</f>
        <v/>
      </c>
      <c r="G94" s="23" t="str">
        <f>IF(calc3!I94=TRUE,
      IF(
            calc3!B94&lt;=calc1!$E$3,
                  calc1!$N$6-initialize!$Q$2/(calc1!$E$3+1)*calc3!B94,
            IF(calc3!B94&lt;=calc1!$E$3+calc1!$E$4,
                  calc1!$N$6-initialize!$Q$2/(calc1!$E$4+1)*(calc3!B94-calc1!$E$3)-calc1!$E$2-initialize!$Q$2,
           IF(calc3!B94&lt;=calc1!$H$3,
                  calc1!$N$6-initialize!$Q$2/(calc1!$E$5+1)*(calc3!B94-calc1!$E$3-calc1!$E$4)-(calc1!$E$2+initialize!$Q$2)*2,""))),"")</f>
        <v/>
      </c>
      <c r="H94" s="69" t="str">
        <f>IF(AND(calc3!I94=TRUE,
                         ROUNDUP(calc3!A94/calc1!$N$3,0)&lt;=calc1!$O$3),
      calc1!$O$6-initialize!$Q$3,
      "")</f>
        <v/>
      </c>
      <c r="I94" s="23" t="str">
        <f>IF(AND(calc3!A94&gt;0,
                         calc3!A94&lt;=calc1!$H$2),
      IF(MOD(calc3!A94-1,modify!$B$6)=0,
            TRUE,
            FALSE),
      "")</f>
        <v/>
      </c>
      <c r="J94" s="69" t="str">
        <f>IF(I94=TRUE,
      IF(MOD(calc3!B94,modify!$K$2)=0,
            TRUE,
            FALSE),
      "")</f>
        <v/>
      </c>
      <c r="K94" s="20" t="str">
        <f>IF(I94=TRUE,
   "G0"&amp;
      " Z"&amp;calc1!$U$3&amp;
      " F"&amp; initialize!$W$3&amp;
      CHAR(10)&amp;
    "G0"&amp;
      " X"&amp;E94&amp;
      " Y"&amp;F94&amp;
      " F"&amp; initialize!$W$2&amp;
       REPT(CHAR(9),4)&amp;
       "; move to sample No. "&amp;A94&amp;
      CHAR(10)&amp;
   "G0"&amp;
      " Z"&amp;calc1!$T$3&amp;
      " F"&amp;initialize!$W$3,
 "")</f>
        <v/>
      </c>
      <c r="L94" s="71" t="str">
        <f>IF(calc3!I94=TRUE,
   "G0 "&amp;
      "Z"&amp;calc1!$U$3 &amp;
      " F"&amp;initialize!$W$3&amp;
      CHAR(10)&amp;
   "G0"&amp;
      " X"&amp;calc3!G94&amp;
      " Y"&amp;H94&amp;
      " F"&amp;initialize!$W$2&amp;
       REPT(CHAR(9),4)&amp;
       "; move to spot No."&amp;B94&amp;
      CHAR(10)&amp;
   "G0"&amp;
      " Z"&amp;calc1!$P$6+initialize!$Q$4&amp;
      " F"&amp;initialize!$W$3&amp;
       REPT(CHAR(9),5)&amp;
       "; decrease z-velocity for contact with TLC"&amp;
      CHAR(10)&amp;
   "G0"&amp;
      " Z"&amp;calc1!$P$6&amp;
      " F"&amp;initialize!$W$4,
  "")</f>
        <v/>
      </c>
      <c r="M94" s="20" t="str">
        <f>IF(AND(calc3!J94=TRUE,I95&lt;&gt;"", modify!$K$3&gt;0),
        "; cleaning process"&amp;
         CHAR(10)&amp;
         calc2!$C$8 &amp;
          REPT(
               CHAR(10)&amp;
               calc2!$C$8, modify!$K$3-1),
      "")</f>
        <v/>
      </c>
      <c r="N94" s="71" t="str">
        <f>IF(calc3!I94=TRUE,
      CHAR(10)&amp;
      "; Spot No."&amp;B94&amp;
      CHAR(10)&amp;
             IF(K94="", "", K94)&amp;                        REPLACE(N("rack"),1,1,"")&amp;CHAR(10)&amp;
             IF(calc2!$A$5="","",calc2!$A$5)&amp;        REPLACE(N("retraction"),1,1,"")&amp;CHAR(10)&amp;
             IF(L94="", "", L94)&amp;                           REPLACE(N("TLC"),1,1,"")&amp;CHAR(10)&amp;
             IF(calc2!$B$5="","",calc2!$B$5)&amp;         REPLACE(N("extrusion"),1,1,"")&amp;CHAR(10)&amp;
             IF(calc2!$C$5="","",calc2!$C$5)&amp;         REPLACE(N("waste"),1,1,"")&amp;CHAR(10)&amp;
             IF(M94="", "", M94)&amp;                          REPLACE(N("cleaning process"),1,1,""),
      "")</f>
        <v/>
      </c>
    </row>
    <row r="95" spans="1:14" ht="14.65" customHeight="1">
      <c r="A95" s="19">
        <v>94</v>
      </c>
      <c r="B95" s="69" t="str">
        <f>IF(calc3!I95=TRUE,
      COUNTIF(calc3!$I$2:I95,TRUE),
      "")</f>
        <v/>
      </c>
      <c r="C95" s="44" t="str">
        <f>IF(calc3!I95=TRUE,ROUNDUP(calc3!A95/calc1!$N$3,0),"")</f>
        <v/>
      </c>
      <c r="D95" s="69" t="str">
        <f>IF(calc3!I95=TRUE,MOD((calc3!A95-1),calc1!$N$3),"")</f>
        <v/>
      </c>
      <c r="E95" s="23" t="str">
        <f>IF(AND(calc3!I95=TRUE,
                         C95&lt;=calc1!$O$3),
      INT((calc3!A95-1)/calc1!$N$3)*calc1!$H$5+calc1!$P$3,
      "")</f>
        <v/>
      </c>
      <c r="F95" s="69" t="str">
        <f>IF(AND(calc3!I95=TRUE,
                        C95&lt;=calc1!$O$3),
      IF(
            calc1!$N$3=1,
                  calc1!$Q$3,
            IF(modify!$B$3="s-shape, starting at back left corner",
                  IF(ISODD(C95),
                             calc1!Q$3+D95*calc1!$H$4,
                              calc1!$S$3-D95*calc1!$H$4),
           IF(modify!$B$3="s-shape, starting at front left corner",
                  IF(ISEVEN(C95),
                              calc1!$Q$3+D95*calc1!$H$4,
                              calc1!$S$3-D95*calc1!$H$4),
            IF(modify!$B$3="non alternating, starting at back left corner",
                  calc1!$Q$3+D95*calc1!$H$4,
            IF(modify!$B$3="non alternating, starting at front left corner",
                  calc1!$S$3-D95*calc1!$H$4,
      ""))))),"")</f>
        <v/>
      </c>
      <c r="G95" s="23" t="str">
        <f>IF(calc3!I95=TRUE,
      IF(
            calc3!B95&lt;=calc1!$E$3,
                  calc1!$N$6-initialize!$Q$2/(calc1!$E$3+1)*calc3!B95,
            IF(calc3!B95&lt;=calc1!$E$3+calc1!$E$4,
                  calc1!$N$6-initialize!$Q$2/(calc1!$E$4+1)*(calc3!B95-calc1!$E$3)-calc1!$E$2-initialize!$Q$2,
           IF(calc3!B95&lt;=calc1!$H$3,
                  calc1!$N$6-initialize!$Q$2/(calc1!$E$5+1)*(calc3!B95-calc1!$E$3-calc1!$E$4)-(calc1!$E$2+initialize!$Q$2)*2,""))),"")</f>
        <v/>
      </c>
      <c r="H95" s="69" t="str">
        <f>IF(AND(calc3!I95=TRUE,
                         ROUNDUP(calc3!A95/calc1!$N$3,0)&lt;=calc1!$O$3),
      calc1!$O$6-initialize!$Q$3,
      "")</f>
        <v/>
      </c>
      <c r="I95" s="23" t="str">
        <f>IF(AND(calc3!A95&gt;0,
                         calc3!A95&lt;=calc1!$H$2),
      IF(MOD(calc3!A95-1,modify!$B$6)=0,
            TRUE,
            FALSE),
      "")</f>
        <v/>
      </c>
      <c r="J95" s="69" t="str">
        <f>IF(I95=TRUE,
      IF(MOD(calc3!B95,modify!$K$2)=0,
            TRUE,
            FALSE),
      "")</f>
        <v/>
      </c>
      <c r="K95" s="20" t="str">
        <f>IF(I95=TRUE,
   "G0"&amp;
      " Z"&amp;calc1!$U$3&amp;
      " F"&amp; initialize!$W$3&amp;
      CHAR(10)&amp;
    "G0"&amp;
      " X"&amp;E95&amp;
      " Y"&amp;F95&amp;
      " F"&amp; initialize!$W$2&amp;
       REPT(CHAR(9),4)&amp;
       "; move to sample No. "&amp;A95&amp;
      CHAR(10)&amp;
   "G0"&amp;
      " Z"&amp;calc1!$T$3&amp;
      " F"&amp;initialize!$W$3,
 "")</f>
        <v/>
      </c>
      <c r="L95" s="71" t="str">
        <f>IF(calc3!I95=TRUE,
   "G0 "&amp;
      "Z"&amp;calc1!$U$3 &amp;
      " F"&amp;initialize!$W$3&amp;
      CHAR(10)&amp;
   "G0"&amp;
      " X"&amp;calc3!G95&amp;
      " Y"&amp;H95&amp;
      " F"&amp;initialize!$W$2&amp;
       REPT(CHAR(9),4)&amp;
       "; move to spot No."&amp;B95&amp;
      CHAR(10)&amp;
   "G0"&amp;
      " Z"&amp;calc1!$P$6+initialize!$Q$4&amp;
      " F"&amp;initialize!$W$3&amp;
       REPT(CHAR(9),5)&amp;
       "; decrease z-velocity for contact with TLC"&amp;
      CHAR(10)&amp;
   "G0"&amp;
      " Z"&amp;calc1!$P$6&amp;
      " F"&amp;initialize!$W$4,
  "")</f>
        <v/>
      </c>
      <c r="M95" s="20" t="str">
        <f>IF(AND(calc3!J95=TRUE,I96&lt;&gt;"", modify!$K$3&gt;0),
        "; cleaning process"&amp;
         CHAR(10)&amp;
         calc2!$C$8 &amp;
          REPT(
               CHAR(10)&amp;
               calc2!$C$8, modify!$K$3-1),
      "")</f>
        <v/>
      </c>
      <c r="N95" s="71" t="str">
        <f>IF(calc3!I95=TRUE,
      CHAR(10)&amp;
      "; Spot No."&amp;B95&amp;
      CHAR(10)&amp;
             IF(K95="", "", K95)&amp;                        REPLACE(N("rack"),1,1,"")&amp;CHAR(10)&amp;
             IF(calc2!$A$5="","",calc2!$A$5)&amp;        REPLACE(N("retraction"),1,1,"")&amp;CHAR(10)&amp;
             IF(L95="", "", L95)&amp;                           REPLACE(N("TLC"),1,1,"")&amp;CHAR(10)&amp;
             IF(calc2!$B$5="","",calc2!$B$5)&amp;         REPLACE(N("extrusion"),1,1,"")&amp;CHAR(10)&amp;
             IF(calc2!$C$5="","",calc2!$C$5)&amp;         REPLACE(N("waste"),1,1,"")&amp;CHAR(10)&amp;
             IF(M95="", "", M95)&amp;                          REPLACE(N("cleaning process"),1,1,""),
      "")</f>
        <v/>
      </c>
    </row>
    <row r="96" spans="1:14" ht="14.65" customHeight="1">
      <c r="A96" s="19">
        <v>95</v>
      </c>
      <c r="B96" s="69" t="str">
        <f>IF(calc3!I96=TRUE,
      COUNTIF(calc3!$I$2:I96,TRUE),
      "")</f>
        <v/>
      </c>
      <c r="C96" s="44" t="str">
        <f>IF(calc3!I96=TRUE,ROUNDUP(calc3!A96/calc1!$N$3,0),"")</f>
        <v/>
      </c>
      <c r="D96" s="69" t="str">
        <f>IF(calc3!I96=TRUE,MOD((calc3!A96-1),calc1!$N$3),"")</f>
        <v/>
      </c>
      <c r="E96" s="23" t="str">
        <f>IF(AND(calc3!I96=TRUE,
                         C96&lt;=calc1!$O$3),
      INT((calc3!A96-1)/calc1!$N$3)*calc1!$H$5+calc1!$P$3,
      "")</f>
        <v/>
      </c>
      <c r="F96" s="69" t="str">
        <f>IF(AND(calc3!I96=TRUE,
                        C96&lt;=calc1!$O$3),
      IF(
            calc1!$N$3=1,
                  calc1!$Q$3,
            IF(modify!$B$3="s-shape, starting at back left corner",
                  IF(ISODD(C96),
                             calc1!Q$3+D96*calc1!$H$4,
                              calc1!$S$3-D96*calc1!$H$4),
           IF(modify!$B$3="s-shape, starting at front left corner",
                  IF(ISEVEN(C96),
                              calc1!$Q$3+D96*calc1!$H$4,
                              calc1!$S$3-D96*calc1!$H$4),
            IF(modify!$B$3="non alternating, starting at back left corner",
                  calc1!$Q$3+D96*calc1!$H$4,
            IF(modify!$B$3="non alternating, starting at front left corner",
                  calc1!$S$3-D96*calc1!$H$4,
      ""))))),"")</f>
        <v/>
      </c>
      <c r="G96" s="23" t="str">
        <f>IF(calc3!I96=TRUE,
      IF(
            calc3!B96&lt;=calc1!$E$3,
                  calc1!$N$6-initialize!$Q$2/(calc1!$E$3+1)*calc3!B96,
            IF(calc3!B96&lt;=calc1!$E$3+calc1!$E$4,
                  calc1!$N$6-initialize!$Q$2/(calc1!$E$4+1)*(calc3!B96-calc1!$E$3)-calc1!$E$2-initialize!$Q$2,
           IF(calc3!B96&lt;=calc1!$H$3,
                  calc1!$N$6-initialize!$Q$2/(calc1!$E$5+1)*(calc3!B96-calc1!$E$3-calc1!$E$4)-(calc1!$E$2+initialize!$Q$2)*2,""))),"")</f>
        <v/>
      </c>
      <c r="H96" s="69" t="str">
        <f>IF(AND(calc3!I96=TRUE,
                         ROUNDUP(calc3!A96/calc1!$N$3,0)&lt;=calc1!$O$3),
      calc1!$O$6-initialize!$Q$3,
      "")</f>
        <v/>
      </c>
      <c r="I96" s="23" t="str">
        <f>IF(AND(calc3!A96&gt;0,
                         calc3!A96&lt;=calc1!$H$2),
      IF(MOD(calc3!A96-1,modify!$B$6)=0,
            TRUE,
            FALSE),
      "")</f>
        <v/>
      </c>
      <c r="J96" s="69" t="str">
        <f>IF(I96=TRUE,
      IF(MOD(calc3!B96,modify!$K$2)=0,
            TRUE,
            FALSE),
      "")</f>
        <v/>
      </c>
      <c r="K96" s="20" t="str">
        <f>IF(I96=TRUE,
   "G0"&amp;
      " Z"&amp;calc1!$U$3&amp;
      " F"&amp; initialize!$W$3&amp;
      CHAR(10)&amp;
    "G0"&amp;
      " X"&amp;E96&amp;
      " Y"&amp;F96&amp;
      " F"&amp; initialize!$W$2&amp;
       REPT(CHAR(9),4)&amp;
       "; move to sample No. "&amp;A96&amp;
      CHAR(10)&amp;
   "G0"&amp;
      " Z"&amp;calc1!$T$3&amp;
      " F"&amp;initialize!$W$3,
 "")</f>
        <v/>
      </c>
      <c r="L96" s="71" t="str">
        <f>IF(calc3!I96=TRUE,
   "G0 "&amp;
      "Z"&amp;calc1!$U$3 &amp;
      " F"&amp;initialize!$W$3&amp;
      CHAR(10)&amp;
   "G0"&amp;
      " X"&amp;calc3!G96&amp;
      " Y"&amp;H96&amp;
      " F"&amp;initialize!$W$2&amp;
       REPT(CHAR(9),4)&amp;
       "; move to spot No."&amp;B96&amp;
      CHAR(10)&amp;
   "G0"&amp;
      " Z"&amp;calc1!$P$6+initialize!$Q$4&amp;
      " F"&amp;initialize!$W$3&amp;
       REPT(CHAR(9),5)&amp;
       "; decrease z-velocity for contact with TLC"&amp;
      CHAR(10)&amp;
   "G0"&amp;
      " Z"&amp;calc1!$P$6&amp;
      " F"&amp;initialize!$W$4,
  "")</f>
        <v/>
      </c>
      <c r="M96" s="20" t="str">
        <f>IF(AND(calc3!J96=TRUE,I97&lt;&gt;"", modify!$K$3&gt;0),
        "; cleaning process"&amp;
         CHAR(10)&amp;
         calc2!$C$8 &amp;
          REPT(
               CHAR(10)&amp;
               calc2!$C$8, modify!$K$3-1),
      "")</f>
        <v/>
      </c>
      <c r="N96" s="71" t="str">
        <f>IF(calc3!I96=TRUE,
      CHAR(10)&amp;
      "; Spot No."&amp;B96&amp;
      CHAR(10)&amp;
             IF(K96="", "", K96)&amp;                        REPLACE(N("rack"),1,1,"")&amp;CHAR(10)&amp;
             IF(calc2!$A$5="","",calc2!$A$5)&amp;        REPLACE(N("retraction"),1,1,"")&amp;CHAR(10)&amp;
             IF(L96="", "", L96)&amp;                           REPLACE(N("TLC"),1,1,"")&amp;CHAR(10)&amp;
             IF(calc2!$B$5="","",calc2!$B$5)&amp;         REPLACE(N("extrusion"),1,1,"")&amp;CHAR(10)&amp;
             IF(calc2!$C$5="","",calc2!$C$5)&amp;         REPLACE(N("waste"),1,1,"")&amp;CHAR(10)&amp;
             IF(M96="", "", M96)&amp;                          REPLACE(N("cleaning process"),1,1,""),
      "")</f>
        <v/>
      </c>
    </row>
    <row r="97" spans="1:14" ht="14.65" customHeight="1">
      <c r="A97" s="19">
        <v>96</v>
      </c>
      <c r="B97" s="69" t="str">
        <f>IF(calc3!I97=TRUE,
      COUNTIF(calc3!$I$2:I97,TRUE),
      "")</f>
        <v/>
      </c>
      <c r="C97" s="44" t="str">
        <f>IF(calc3!I97=TRUE,ROUNDUP(calc3!A97/calc1!$N$3,0),"")</f>
        <v/>
      </c>
      <c r="D97" s="69" t="str">
        <f>IF(calc3!I97=TRUE,MOD((calc3!A97-1),calc1!$N$3),"")</f>
        <v/>
      </c>
      <c r="E97" s="23" t="str">
        <f>IF(AND(calc3!I97=TRUE,
                         C97&lt;=calc1!$O$3),
      INT((calc3!A97-1)/calc1!$N$3)*calc1!$H$5+calc1!$P$3,
      "")</f>
        <v/>
      </c>
      <c r="F97" s="69" t="str">
        <f>IF(AND(calc3!I97=TRUE,
                        C97&lt;=calc1!$O$3),
      IF(
            calc1!$N$3=1,
                  calc1!$Q$3,
            IF(modify!$B$3="s-shape, starting at back left corner",
                  IF(ISODD(C97),
                             calc1!Q$3+D97*calc1!$H$4,
                              calc1!$S$3-D97*calc1!$H$4),
           IF(modify!$B$3="s-shape, starting at front left corner",
                  IF(ISEVEN(C97),
                              calc1!$Q$3+D97*calc1!$H$4,
                              calc1!$S$3-D97*calc1!$H$4),
            IF(modify!$B$3="non alternating, starting at back left corner",
                  calc1!$Q$3+D97*calc1!$H$4,
            IF(modify!$B$3="non alternating, starting at front left corner",
                  calc1!$S$3-D97*calc1!$H$4,
      ""))))),"")</f>
        <v/>
      </c>
      <c r="G97" s="23" t="str">
        <f>IF(calc3!I97=TRUE,
      IF(
            calc3!B97&lt;=calc1!$E$3,
                  calc1!$N$6-initialize!$Q$2/(calc1!$E$3+1)*calc3!B97,
            IF(calc3!B97&lt;=calc1!$E$3+calc1!$E$4,
                  calc1!$N$6-initialize!$Q$2/(calc1!$E$4+1)*(calc3!B97-calc1!$E$3)-calc1!$E$2-initialize!$Q$2,
           IF(calc3!B97&lt;=calc1!$H$3,
                  calc1!$N$6-initialize!$Q$2/(calc1!$E$5+1)*(calc3!B97-calc1!$E$3-calc1!$E$4)-(calc1!$E$2+initialize!$Q$2)*2,""))),"")</f>
        <v/>
      </c>
      <c r="H97" s="69" t="str">
        <f>IF(AND(calc3!I97=TRUE,
                         ROUNDUP(calc3!A97/calc1!$N$3,0)&lt;=calc1!$O$3),
      calc1!$O$6-initialize!$Q$3,
      "")</f>
        <v/>
      </c>
      <c r="I97" s="23" t="str">
        <f>IF(AND(calc3!A97&gt;0,
                         calc3!A97&lt;=calc1!$H$2),
      IF(MOD(calc3!A97-1,modify!$B$6)=0,
            TRUE,
            FALSE),
      "")</f>
        <v/>
      </c>
      <c r="J97" s="69" t="str">
        <f>IF(I97=TRUE,
      IF(MOD(calc3!B97,modify!$K$2)=0,
            TRUE,
            FALSE),
      "")</f>
        <v/>
      </c>
      <c r="K97" s="20" t="str">
        <f>IF(I97=TRUE,
   "G0"&amp;
      " Z"&amp;calc1!$U$3&amp;
      " F"&amp; initialize!$W$3&amp;
      CHAR(10)&amp;
    "G0"&amp;
      " X"&amp;E97&amp;
      " Y"&amp;F97&amp;
      " F"&amp; initialize!$W$2&amp;
       REPT(CHAR(9),4)&amp;
       "; move to sample No. "&amp;A97&amp;
      CHAR(10)&amp;
   "G0"&amp;
      " Z"&amp;calc1!$T$3&amp;
      " F"&amp;initialize!$W$3,
 "")</f>
        <v/>
      </c>
      <c r="L97" s="71" t="str">
        <f>IF(calc3!I97=TRUE,
   "G0 "&amp;
      "Z"&amp;calc1!$U$3 &amp;
      " F"&amp;initialize!$W$3&amp;
      CHAR(10)&amp;
   "G0"&amp;
      " X"&amp;calc3!G97&amp;
      " Y"&amp;H97&amp;
      " F"&amp;initialize!$W$2&amp;
       REPT(CHAR(9),4)&amp;
       "; move to spot No."&amp;B97&amp;
      CHAR(10)&amp;
   "G0"&amp;
      " Z"&amp;calc1!$P$6+initialize!$Q$4&amp;
      " F"&amp;initialize!$W$3&amp;
       REPT(CHAR(9),5)&amp;
       "; decrease z-velocity for contact with TLC"&amp;
      CHAR(10)&amp;
   "G0"&amp;
      " Z"&amp;calc1!$P$6&amp;
      " F"&amp;initialize!$W$4,
  "")</f>
        <v/>
      </c>
      <c r="M97" s="20" t="str">
        <f>IF(AND(calc3!J97=TRUE,I98&lt;&gt;"", modify!$K$3&gt;0),
        "; cleaning process"&amp;
         CHAR(10)&amp;
         calc2!$C$8 &amp;
          REPT(
               CHAR(10)&amp;
               calc2!$C$8, modify!$K$3-1),
      "")</f>
        <v/>
      </c>
      <c r="N97" s="71" t="str">
        <f>IF(calc3!I97=TRUE,
      CHAR(10)&amp;
      "; Spot No."&amp;B97&amp;
      CHAR(10)&amp;
             IF(K97="", "", K97)&amp;                        REPLACE(N("rack"),1,1,"")&amp;CHAR(10)&amp;
             IF(calc2!$A$5="","",calc2!$A$5)&amp;        REPLACE(N("retraction"),1,1,"")&amp;CHAR(10)&amp;
             IF(L97="", "", L97)&amp;                           REPLACE(N("TLC"),1,1,"")&amp;CHAR(10)&amp;
             IF(calc2!$B$5="","",calc2!$B$5)&amp;         REPLACE(N("extrusion"),1,1,"")&amp;CHAR(10)&amp;
             IF(calc2!$C$5="","",calc2!$C$5)&amp;         REPLACE(N("waste"),1,1,"")&amp;CHAR(10)&amp;
             IF(M97="", "", M97)&amp;                          REPLACE(N("cleaning process"),1,1,""),
      "")</f>
        <v/>
      </c>
    </row>
    <row r="98" spans="1:14" ht="14.65" customHeight="1">
      <c r="A98" s="19">
        <v>97</v>
      </c>
      <c r="B98" s="69" t="str">
        <f>IF(calc3!I98=TRUE,
      COUNTIF(calc3!$I$2:I98,TRUE),
      "")</f>
        <v/>
      </c>
      <c r="C98" s="44" t="str">
        <f>IF(calc3!I98=TRUE,ROUNDUP(calc3!A98/calc1!$N$3,0),"")</f>
        <v/>
      </c>
      <c r="D98" s="69" t="str">
        <f>IF(calc3!I98=TRUE,MOD((calc3!A98-1),calc1!$N$3),"")</f>
        <v/>
      </c>
      <c r="E98" s="23" t="str">
        <f>IF(AND(calc3!I98=TRUE,
                         C98&lt;=calc1!$O$3),
      INT((calc3!A98-1)/calc1!$N$3)*calc1!$H$5+calc1!$P$3,
      "")</f>
        <v/>
      </c>
      <c r="F98" s="69" t="str">
        <f>IF(AND(calc3!I98=TRUE,
                        C98&lt;=calc1!$O$3),
      IF(
            calc1!$N$3=1,
                  calc1!$Q$3,
            IF(modify!$B$3="s-shape, starting at back left corner",
                  IF(ISODD(C98),
                             calc1!Q$3+D98*calc1!$H$4,
                              calc1!$S$3-D98*calc1!$H$4),
           IF(modify!$B$3="s-shape, starting at front left corner",
                  IF(ISEVEN(C98),
                              calc1!$Q$3+D98*calc1!$H$4,
                              calc1!$S$3-D98*calc1!$H$4),
            IF(modify!$B$3="non alternating, starting at back left corner",
                  calc1!$Q$3+D98*calc1!$H$4,
            IF(modify!$B$3="non alternating, starting at front left corner",
                  calc1!$S$3-D98*calc1!$H$4,
      ""))))),"")</f>
        <v/>
      </c>
      <c r="G98" s="23" t="str">
        <f>IF(calc3!I98=TRUE,
      IF(
            calc3!B98&lt;=calc1!$E$3,
                  calc1!$N$6-initialize!$Q$2/(calc1!$E$3+1)*calc3!B98,
            IF(calc3!B98&lt;=calc1!$E$3+calc1!$E$4,
                  calc1!$N$6-initialize!$Q$2/(calc1!$E$4+1)*(calc3!B98-calc1!$E$3)-calc1!$E$2-initialize!$Q$2,
           IF(calc3!B98&lt;=calc1!$H$3,
                  calc1!$N$6-initialize!$Q$2/(calc1!$E$5+1)*(calc3!B98-calc1!$E$3-calc1!$E$4)-(calc1!$E$2+initialize!$Q$2)*2,""))),"")</f>
        <v/>
      </c>
      <c r="H98" s="69" t="str">
        <f>IF(AND(calc3!I98=TRUE,
                         ROUNDUP(calc3!A98/calc1!$N$3,0)&lt;=calc1!$O$3),
      calc1!$O$6-initialize!$Q$3,
      "")</f>
        <v/>
      </c>
      <c r="I98" s="23" t="str">
        <f>IF(AND(calc3!A98&gt;0,
                         calc3!A98&lt;=calc1!$H$2),
      IF(MOD(calc3!A98-1,modify!$B$6)=0,
            TRUE,
            FALSE),
      "")</f>
        <v/>
      </c>
      <c r="J98" s="69" t="str">
        <f>IF(I98=TRUE,
      IF(MOD(calc3!B98,modify!$K$2)=0,
            TRUE,
            FALSE),
      "")</f>
        <v/>
      </c>
      <c r="K98" s="20" t="str">
        <f>IF(I98=TRUE,
   "G0"&amp;
      " Z"&amp;calc1!$U$3&amp;
      " F"&amp; initialize!$W$3&amp;
      CHAR(10)&amp;
    "G0"&amp;
      " X"&amp;E98&amp;
      " Y"&amp;F98&amp;
      " F"&amp; initialize!$W$2&amp;
       REPT(CHAR(9),4)&amp;
       "; move to sample No. "&amp;A98&amp;
      CHAR(10)&amp;
   "G0"&amp;
      " Z"&amp;calc1!$T$3&amp;
      " F"&amp;initialize!$W$3,
 "")</f>
        <v/>
      </c>
      <c r="L98" s="71" t="str">
        <f>IF(calc3!I98=TRUE,
   "G0 "&amp;
      "Z"&amp;calc1!$U$3 &amp;
      " F"&amp;initialize!$W$3&amp;
      CHAR(10)&amp;
   "G0"&amp;
      " X"&amp;calc3!G98&amp;
      " Y"&amp;H98&amp;
      " F"&amp;initialize!$W$2&amp;
       REPT(CHAR(9),4)&amp;
       "; move to spot No."&amp;B98&amp;
      CHAR(10)&amp;
   "G0"&amp;
      " Z"&amp;calc1!$P$6+initialize!$Q$4&amp;
      " F"&amp;initialize!$W$3&amp;
       REPT(CHAR(9),5)&amp;
       "; decrease z-velocity for contact with TLC"&amp;
      CHAR(10)&amp;
   "G0"&amp;
      " Z"&amp;calc1!$P$6&amp;
      " F"&amp;initialize!$W$4,
  "")</f>
        <v/>
      </c>
      <c r="M98" s="20" t="str">
        <f>IF(AND(calc3!J98=TRUE,I99&lt;&gt;"", modify!$K$3&gt;0),
        "; cleaning process"&amp;
         CHAR(10)&amp;
         calc2!$C$8 &amp;
          REPT(
               CHAR(10)&amp;
               calc2!$C$8, modify!$K$3-1),
      "")</f>
        <v/>
      </c>
      <c r="N98" s="71" t="str">
        <f>IF(calc3!I98=TRUE,
      CHAR(10)&amp;
      "; Spot No."&amp;B98&amp;
      CHAR(10)&amp;
             IF(K98="", "", K98)&amp;                        REPLACE(N("rack"),1,1,"")&amp;CHAR(10)&amp;
             IF(calc2!$A$5="","",calc2!$A$5)&amp;        REPLACE(N("retraction"),1,1,"")&amp;CHAR(10)&amp;
             IF(L98="", "", L98)&amp;                           REPLACE(N("TLC"),1,1,"")&amp;CHAR(10)&amp;
             IF(calc2!$B$5="","",calc2!$B$5)&amp;         REPLACE(N("extrusion"),1,1,"")&amp;CHAR(10)&amp;
             IF(calc2!$C$5="","",calc2!$C$5)&amp;         REPLACE(N("waste"),1,1,"")&amp;CHAR(10)&amp;
             IF(M98="", "", M98)&amp;                          REPLACE(N("cleaning process"),1,1,""),
      "")</f>
        <v/>
      </c>
    </row>
    <row r="99" spans="1:14" ht="14.65" customHeight="1">
      <c r="A99" s="19">
        <v>98</v>
      </c>
      <c r="B99" s="69" t="str">
        <f>IF(calc3!I99=TRUE,
      COUNTIF(calc3!$I$2:I99,TRUE),
      "")</f>
        <v/>
      </c>
      <c r="C99" s="44" t="str">
        <f>IF(calc3!I99=TRUE,ROUNDUP(calc3!A99/calc1!$N$3,0),"")</f>
        <v/>
      </c>
      <c r="D99" s="69" t="str">
        <f>IF(calc3!I99=TRUE,MOD((calc3!A99-1),calc1!$N$3),"")</f>
        <v/>
      </c>
      <c r="E99" s="23" t="str">
        <f>IF(AND(calc3!I99=TRUE,
                         C99&lt;=calc1!$O$3),
      INT((calc3!A99-1)/calc1!$N$3)*calc1!$H$5+calc1!$P$3,
      "")</f>
        <v/>
      </c>
      <c r="F99" s="69" t="str">
        <f>IF(AND(calc3!I99=TRUE,
                        C99&lt;=calc1!$O$3),
      IF(
            calc1!$N$3=1,
                  calc1!$Q$3,
            IF(modify!$B$3="s-shape, starting at back left corner",
                  IF(ISODD(C99),
                             calc1!Q$3+D99*calc1!$H$4,
                              calc1!$S$3-D99*calc1!$H$4),
           IF(modify!$B$3="s-shape, starting at front left corner",
                  IF(ISEVEN(C99),
                              calc1!$Q$3+D99*calc1!$H$4,
                              calc1!$S$3-D99*calc1!$H$4),
            IF(modify!$B$3="non alternating, starting at back left corner",
                  calc1!$Q$3+D99*calc1!$H$4,
            IF(modify!$B$3="non alternating, starting at front left corner",
                  calc1!$S$3-D99*calc1!$H$4,
      ""))))),"")</f>
        <v/>
      </c>
      <c r="G99" s="23" t="str">
        <f>IF(calc3!I99=TRUE,
      IF(
            calc3!B99&lt;=calc1!$E$3,
                  calc1!$N$6-initialize!$Q$2/(calc1!$E$3+1)*calc3!B99,
            IF(calc3!B99&lt;=calc1!$E$3+calc1!$E$4,
                  calc1!$N$6-initialize!$Q$2/(calc1!$E$4+1)*(calc3!B99-calc1!$E$3)-calc1!$E$2-initialize!$Q$2,
           IF(calc3!B99&lt;=calc1!$H$3,
                  calc1!$N$6-initialize!$Q$2/(calc1!$E$5+1)*(calc3!B99-calc1!$E$3-calc1!$E$4)-(calc1!$E$2+initialize!$Q$2)*2,""))),"")</f>
        <v/>
      </c>
      <c r="H99" s="69" t="str">
        <f>IF(AND(calc3!I99=TRUE,
                         ROUNDUP(calc3!A99/calc1!$N$3,0)&lt;=calc1!$O$3),
      calc1!$O$6-initialize!$Q$3,
      "")</f>
        <v/>
      </c>
      <c r="I99" s="23" t="str">
        <f>IF(AND(calc3!A99&gt;0,
                         calc3!A99&lt;=calc1!$H$2),
      IF(MOD(calc3!A99-1,modify!$B$6)=0,
            TRUE,
            FALSE),
      "")</f>
        <v/>
      </c>
      <c r="J99" s="69" t="str">
        <f>IF(I99=TRUE,
      IF(MOD(calc3!B99,modify!$K$2)=0,
            TRUE,
            FALSE),
      "")</f>
        <v/>
      </c>
      <c r="K99" s="20" t="str">
        <f>IF(I99=TRUE,
   "G0"&amp;
      " Z"&amp;calc1!$U$3&amp;
      " F"&amp; initialize!$W$3&amp;
      CHAR(10)&amp;
    "G0"&amp;
      " X"&amp;E99&amp;
      " Y"&amp;F99&amp;
      " F"&amp; initialize!$W$2&amp;
       REPT(CHAR(9),4)&amp;
       "; move to sample No. "&amp;A99&amp;
      CHAR(10)&amp;
   "G0"&amp;
      " Z"&amp;calc1!$T$3&amp;
      " F"&amp;initialize!$W$3,
 "")</f>
        <v/>
      </c>
      <c r="L99" s="71" t="str">
        <f>IF(calc3!I99=TRUE,
   "G0 "&amp;
      "Z"&amp;calc1!$U$3 &amp;
      " F"&amp;initialize!$W$3&amp;
      CHAR(10)&amp;
   "G0"&amp;
      " X"&amp;calc3!G99&amp;
      " Y"&amp;H99&amp;
      " F"&amp;initialize!$W$2&amp;
       REPT(CHAR(9),4)&amp;
       "; move to spot No."&amp;B99&amp;
      CHAR(10)&amp;
   "G0"&amp;
      " Z"&amp;calc1!$P$6+initialize!$Q$4&amp;
      " F"&amp;initialize!$W$3&amp;
       REPT(CHAR(9),5)&amp;
       "; decrease z-velocity for contact with TLC"&amp;
      CHAR(10)&amp;
   "G0"&amp;
      " Z"&amp;calc1!$P$6&amp;
      " F"&amp;initialize!$W$4,
  "")</f>
        <v/>
      </c>
      <c r="M99" s="20" t="str">
        <f>IF(AND(calc3!J99=TRUE,I100&lt;&gt;"", modify!$K$3&gt;0),
        "; cleaning process"&amp;
         CHAR(10)&amp;
         calc2!$C$8 &amp;
          REPT(
               CHAR(10)&amp;
               calc2!$C$8, modify!$K$3-1),
      "")</f>
        <v/>
      </c>
      <c r="N99" s="71" t="str">
        <f>IF(calc3!I99=TRUE,
      CHAR(10)&amp;
      "; Spot No."&amp;B99&amp;
      CHAR(10)&amp;
             IF(K99="", "", K99)&amp;                        REPLACE(N("rack"),1,1,"")&amp;CHAR(10)&amp;
             IF(calc2!$A$5="","",calc2!$A$5)&amp;        REPLACE(N("retraction"),1,1,"")&amp;CHAR(10)&amp;
             IF(L99="", "", L99)&amp;                           REPLACE(N("TLC"),1,1,"")&amp;CHAR(10)&amp;
             IF(calc2!$B$5="","",calc2!$B$5)&amp;         REPLACE(N("extrusion"),1,1,"")&amp;CHAR(10)&amp;
             IF(calc2!$C$5="","",calc2!$C$5)&amp;         REPLACE(N("waste"),1,1,"")&amp;CHAR(10)&amp;
             IF(M99="", "", M99)&amp;                          REPLACE(N("cleaning process"),1,1,""),
      "")</f>
        <v/>
      </c>
    </row>
    <row r="100" spans="1:14" ht="14.65" customHeight="1">
      <c r="A100" s="19">
        <v>99</v>
      </c>
      <c r="B100" s="69" t="str">
        <f>IF(calc3!I100=TRUE,
      COUNTIF(calc3!$I$2:I100,TRUE),
      "")</f>
        <v/>
      </c>
      <c r="C100" s="44" t="str">
        <f>IF(calc3!I100=TRUE,ROUNDUP(calc3!A100/calc1!$N$3,0),"")</f>
        <v/>
      </c>
      <c r="D100" s="69" t="str">
        <f>IF(calc3!I100=TRUE,MOD((calc3!A100-1),calc1!$N$3),"")</f>
        <v/>
      </c>
      <c r="E100" s="23" t="str">
        <f>IF(AND(calc3!I100=TRUE,
                         C100&lt;=calc1!$O$3),
      INT((calc3!A100-1)/calc1!$N$3)*calc1!$H$5+calc1!$P$3,
      "")</f>
        <v/>
      </c>
      <c r="F100" s="69" t="str">
        <f>IF(AND(calc3!I100=TRUE,
                        C100&lt;=calc1!$O$3),
      IF(
            calc1!$N$3=1,
                  calc1!$Q$3,
            IF(modify!$B$3="s-shape, starting at back left corner",
                  IF(ISODD(C100),
                             calc1!Q$3+D100*calc1!$H$4,
                              calc1!$S$3-D100*calc1!$H$4),
           IF(modify!$B$3="s-shape, starting at front left corner",
                  IF(ISEVEN(C100),
                              calc1!$Q$3+D100*calc1!$H$4,
                              calc1!$S$3-D100*calc1!$H$4),
            IF(modify!$B$3="non alternating, starting at back left corner",
                  calc1!$Q$3+D100*calc1!$H$4,
            IF(modify!$B$3="non alternating, starting at front left corner",
                  calc1!$S$3-D100*calc1!$H$4,
      ""))))),"")</f>
        <v/>
      </c>
      <c r="G100" s="23" t="str">
        <f>IF(calc3!I100=TRUE,
      IF(
            calc3!B100&lt;=calc1!$E$3,
                  calc1!$N$6-initialize!$Q$2/(calc1!$E$3+1)*calc3!B100,
            IF(calc3!B100&lt;=calc1!$E$3+calc1!$E$4,
                  calc1!$N$6-initialize!$Q$2/(calc1!$E$4+1)*(calc3!B100-calc1!$E$3)-calc1!$E$2-initialize!$Q$2,
           IF(calc3!B100&lt;=calc1!$H$3,
                  calc1!$N$6-initialize!$Q$2/(calc1!$E$5+1)*(calc3!B100-calc1!$E$3-calc1!$E$4)-(calc1!$E$2+initialize!$Q$2)*2,""))),"")</f>
        <v/>
      </c>
      <c r="H100" s="69" t="str">
        <f>IF(AND(calc3!I100=TRUE,
                         ROUNDUP(calc3!A100/calc1!$N$3,0)&lt;=calc1!$O$3),
      calc1!$O$6-initialize!$Q$3,
      "")</f>
        <v/>
      </c>
      <c r="I100" s="23" t="str">
        <f>IF(AND(calc3!A100&gt;0,
                         calc3!A100&lt;=calc1!$H$2),
      IF(MOD(calc3!A100-1,modify!$B$6)=0,
            TRUE,
            FALSE),
      "")</f>
        <v/>
      </c>
      <c r="J100" s="69" t="str">
        <f>IF(I100=TRUE,
      IF(MOD(calc3!B100,modify!$K$2)=0,
            TRUE,
            FALSE),
      "")</f>
        <v/>
      </c>
      <c r="K100" s="20" t="str">
        <f>IF(I100=TRUE,
   "G0"&amp;
      " Z"&amp;calc1!$U$3&amp;
      " F"&amp; initialize!$W$3&amp;
      CHAR(10)&amp;
    "G0"&amp;
      " X"&amp;E100&amp;
      " Y"&amp;F100&amp;
      " F"&amp; initialize!$W$2&amp;
       REPT(CHAR(9),4)&amp;
       "; move to sample No. "&amp;A100&amp;
      CHAR(10)&amp;
   "G0"&amp;
      " Z"&amp;calc1!$T$3&amp;
      " F"&amp;initialize!$W$3,
 "")</f>
        <v/>
      </c>
      <c r="L100" s="71" t="str">
        <f>IF(calc3!I100=TRUE,
   "G0 "&amp;
      "Z"&amp;calc1!$U$3 &amp;
      " F"&amp;initialize!$W$3&amp;
      CHAR(10)&amp;
   "G0"&amp;
      " X"&amp;calc3!G100&amp;
      " Y"&amp;H100&amp;
      " F"&amp;initialize!$W$2&amp;
       REPT(CHAR(9),4)&amp;
       "; move to spot No."&amp;B100&amp;
      CHAR(10)&amp;
   "G0"&amp;
      " Z"&amp;calc1!$P$6+initialize!$Q$4&amp;
      " F"&amp;initialize!$W$3&amp;
       REPT(CHAR(9),5)&amp;
       "; decrease z-velocity for contact with TLC"&amp;
      CHAR(10)&amp;
   "G0"&amp;
      " Z"&amp;calc1!$P$6&amp;
      " F"&amp;initialize!$W$4,
  "")</f>
        <v/>
      </c>
      <c r="M100" s="20" t="str">
        <f>IF(AND(calc3!J100=TRUE,I101&lt;&gt;"", modify!$K$3&gt;0),
        "; cleaning process"&amp;
         CHAR(10)&amp;
         calc2!$C$8 &amp;
          REPT(
               CHAR(10)&amp;
               calc2!$C$8, modify!$K$3-1),
      "")</f>
        <v/>
      </c>
      <c r="N100" s="71" t="str">
        <f>IF(calc3!I100=TRUE,
      CHAR(10)&amp;
      "; Spot No."&amp;B100&amp;
      CHAR(10)&amp;
             IF(K100="", "", K100)&amp;                        REPLACE(N("rack"),1,1,"")&amp;CHAR(10)&amp;
             IF(calc2!$A$5="","",calc2!$A$5)&amp;        REPLACE(N("retraction"),1,1,"")&amp;CHAR(10)&amp;
             IF(L100="", "", L100)&amp;                           REPLACE(N("TLC"),1,1,"")&amp;CHAR(10)&amp;
             IF(calc2!$B$5="","",calc2!$B$5)&amp;         REPLACE(N("extrusion"),1,1,"")&amp;CHAR(10)&amp;
             IF(calc2!$C$5="","",calc2!$C$5)&amp;         REPLACE(N("waste"),1,1,"")&amp;CHAR(10)&amp;
             IF(M100="", "", M100)&amp;                          REPLACE(N("cleaning process"),1,1,""),
      "")</f>
        <v/>
      </c>
    </row>
    <row r="101" spans="1:14" ht="14.65" customHeight="1">
      <c r="A101" s="19">
        <v>100</v>
      </c>
      <c r="B101" s="69" t="str">
        <f>IF(calc3!I101=TRUE,
      COUNTIF(calc3!$I$2:I101,TRUE),
      "")</f>
        <v/>
      </c>
      <c r="C101" s="44" t="str">
        <f>IF(calc3!I101=TRUE,ROUNDUP(calc3!A101/calc1!$N$3,0),"")</f>
        <v/>
      </c>
      <c r="D101" s="69" t="str">
        <f>IF(calc3!I101=TRUE,MOD((calc3!A101-1),calc1!$N$3),"")</f>
        <v/>
      </c>
      <c r="E101" s="23" t="str">
        <f>IF(AND(calc3!I101=TRUE,
                         C101&lt;=calc1!$O$3),
      INT((calc3!A101-1)/calc1!$N$3)*calc1!$H$5+calc1!$P$3,
      "")</f>
        <v/>
      </c>
      <c r="F101" s="69" t="str">
        <f>IF(AND(calc3!I101=TRUE,
                        C101&lt;=calc1!$O$3),
      IF(
            calc1!$N$3=1,
                  calc1!$Q$3,
            IF(modify!$B$3="s-shape, starting at back left corner",
                  IF(ISODD(C101),
                             calc1!Q$3+D101*calc1!$H$4,
                              calc1!$S$3-D101*calc1!$H$4),
           IF(modify!$B$3="s-shape, starting at front left corner",
                  IF(ISEVEN(C101),
                              calc1!$Q$3+D101*calc1!$H$4,
                              calc1!$S$3-D101*calc1!$H$4),
            IF(modify!$B$3="non alternating, starting at back left corner",
                  calc1!$Q$3+D101*calc1!$H$4,
            IF(modify!$B$3="non alternating, starting at front left corner",
                  calc1!$S$3-D101*calc1!$H$4,
      ""))))),"")</f>
        <v/>
      </c>
      <c r="G101" s="23" t="str">
        <f>IF(calc3!I101=TRUE,
      IF(
            calc3!B101&lt;=calc1!$E$3,
                  calc1!$N$6-initialize!$Q$2/(calc1!$E$3+1)*calc3!B101,
            IF(calc3!B101&lt;=calc1!$E$3+calc1!$E$4,
                  calc1!$N$6-initialize!$Q$2/(calc1!$E$4+1)*(calc3!B101-calc1!$E$3)-calc1!$E$2-initialize!$Q$2,
           IF(calc3!B101&lt;=calc1!$H$3,
                  calc1!$N$6-initialize!$Q$2/(calc1!$E$5+1)*(calc3!B101-calc1!$E$3-calc1!$E$4)-(calc1!$E$2+initialize!$Q$2)*2,""))),"")</f>
        <v/>
      </c>
      <c r="H101" s="69" t="str">
        <f>IF(AND(calc3!I101=TRUE,
                         ROUNDUP(calc3!A101/calc1!$N$3,0)&lt;=calc1!$O$3),
      calc1!$O$6-initialize!$Q$3,
      "")</f>
        <v/>
      </c>
      <c r="I101" s="23" t="str">
        <f>IF(AND(calc3!A101&gt;0,
                         calc3!A101&lt;=calc1!$H$2),
      IF(MOD(calc3!A101-1,modify!$B$6)=0,
            TRUE,
            FALSE),
      "")</f>
        <v/>
      </c>
      <c r="J101" s="69" t="str">
        <f>IF(I101=TRUE,
      IF(MOD(calc3!B101,modify!$K$2)=0,
            TRUE,
            FALSE),
      "")</f>
        <v/>
      </c>
      <c r="K101" s="20" t="str">
        <f>IF(I101=TRUE,
   "G0"&amp;
      " Z"&amp;calc1!$U$3&amp;
      " F"&amp; initialize!$W$3&amp;
      CHAR(10)&amp;
    "G0"&amp;
      " X"&amp;E101&amp;
      " Y"&amp;F101&amp;
      " F"&amp; initialize!$W$2&amp;
       REPT(CHAR(9),4)&amp;
       "; move to sample No. "&amp;A101&amp;
      CHAR(10)&amp;
   "G0"&amp;
      " Z"&amp;calc1!$T$3&amp;
      " F"&amp;initialize!$W$3,
 "")</f>
        <v/>
      </c>
      <c r="L101" s="71" t="str">
        <f>IF(calc3!I101=TRUE,
   "G0 "&amp;
      "Z"&amp;calc1!$U$3 &amp;
      " F"&amp;initialize!$W$3&amp;
      CHAR(10)&amp;
   "G0"&amp;
      " X"&amp;calc3!G101&amp;
      " Y"&amp;H101&amp;
      " F"&amp;initialize!$W$2&amp;
       REPT(CHAR(9),4)&amp;
       "; move to spot No."&amp;B101&amp;
      CHAR(10)&amp;
   "G0"&amp;
      " Z"&amp;calc1!$P$6+initialize!$Q$4&amp;
      " F"&amp;initialize!$W$3&amp;
       REPT(CHAR(9),5)&amp;
       "; decrease z-velocity for contact with TLC"&amp;
      CHAR(10)&amp;
   "G0"&amp;
      " Z"&amp;calc1!$P$6&amp;
      " F"&amp;initialize!$W$4,
  "")</f>
        <v/>
      </c>
      <c r="M101" s="20" t="str">
        <f>IF(AND(calc3!J101=TRUE,I102&lt;&gt;"", modify!$K$3&gt;0),
        "; cleaning process"&amp;
         CHAR(10)&amp;
         calc2!$C$8 &amp;
          REPT(
               CHAR(10)&amp;
               calc2!$C$8, modify!$K$3-1),
      "")</f>
        <v/>
      </c>
      <c r="N101" s="71" t="str">
        <f>IF(calc3!I101=TRUE,
      CHAR(10)&amp;
      "; Spot No."&amp;B101&amp;
      CHAR(10)&amp;
             IF(K101="", "", K101)&amp;                        REPLACE(N("rack"),1,1,"")&amp;CHAR(10)&amp;
             IF(calc2!$A$5="","",calc2!$A$5)&amp;        REPLACE(N("retraction"),1,1,"")&amp;CHAR(10)&amp;
             IF(L101="", "", L101)&amp;                           REPLACE(N("TLC"),1,1,"")&amp;CHAR(10)&amp;
             IF(calc2!$B$5="","",calc2!$B$5)&amp;         REPLACE(N("extrusion"),1,1,"")&amp;CHAR(10)&amp;
             IF(calc2!$C$5="","",calc2!$C$5)&amp;         REPLACE(N("waste"),1,1,"")&amp;CHAR(10)&amp;
             IF(M101="", "", M101)&amp;                          REPLACE(N("cleaning process"),1,1,""),
      "")</f>
        <v/>
      </c>
    </row>
    <row r="102" spans="1:14" ht="14.65" customHeight="1">
      <c r="K102" s="20" t="str">
        <f>IF(I102=TRUE,"G0"&amp;" Z"&amp;calc1!$U$3&amp; modify!#REF!&amp;CHAR(10)&amp;"G0"&amp;" X"&amp;F102&amp;" Y"&amp;E102&amp; initialize!$W$2&amp;CHAR(10)&amp;"G0"&amp;" Z"&amp;calc1!$T$3&amp;initialize!$W$3,"")</f>
        <v/>
      </c>
      <c r="L102" s="71" t="str">
        <f>IF(calc3!I102=TRUE,"G0 "&amp;"Z"&amp;calc1!$U$3 &amp;modify!#REF!&amp;CHAR(10)&amp;"G0"&amp;" X"&amp;calc3!H102&amp;" Y"&amp;G102&amp;initialize!$W$2&amp;CHAR(10)&amp;"G0"&amp;" Z"&amp;initialize!$Q$4&amp;initialize!$W$3&amp;CHAR(10)&amp;"G0"&amp;" Z"&amp;calc1!$P$6&amp;initialize!$W$4,"")</f>
        <v/>
      </c>
      <c r="M102" s="20" t="str">
        <f>IF(AND(calc3!I102=TRUE,calc3!J102=TRUE),"G0"&amp;" Z"&amp;calc1!$U$3&amp;modify!#REF!&amp;CHAR(10)&amp;"G0"&amp;" X"&amp;initialize!$L$2&amp;" Y"&amp;initialize!$M$2&amp;initialize!$W$2&amp;CHAR(10)&amp;"G0"&amp;" Z"&amp;initialize!$N$2&amp;initialize!$W$3&amp;CHAR(10)&amp;"G0"&amp;" E"&amp;calc1!$B$5&amp;initialize!$W$5,"")</f>
        <v/>
      </c>
    </row>
    <row r="103" spans="1:14" ht="14.65" customHeight="1">
      <c r="K103" s="20" t="str">
        <f>IF(I103=TRUE,"G0"&amp;" Z"&amp;calc1!$U$3&amp; modify!#REF!&amp;CHAR(10)&amp;"G0"&amp;" X"&amp;F103&amp;" Y"&amp;E103&amp; initialize!$W$2&amp;CHAR(10)&amp;"G0"&amp;" Z"&amp;calc1!$T$3&amp;initialize!$W$3,"")</f>
        <v/>
      </c>
      <c r="L103" s="71" t="str">
        <f>IF(calc3!I103=TRUE,"G0 "&amp;"Z"&amp;calc1!$U$3 &amp;modify!#REF!&amp;CHAR(10)&amp;"G0"&amp;" X"&amp;calc3!H103&amp;" Y"&amp;G103&amp;initialize!$W$2&amp;CHAR(10)&amp;"G0"&amp;" Z"&amp;initialize!$Q$4&amp;initialize!$W$3&amp;CHAR(10)&amp;"G0"&amp;" Z"&amp;calc1!$P$6&amp;initialize!$W$4,"")</f>
        <v/>
      </c>
      <c r="M103" s="20" t="str">
        <f>IF(AND(calc3!I103=TRUE,calc3!J103=TRUE),"G0"&amp;" Z"&amp;calc1!$U$3&amp;modify!#REF!&amp;CHAR(10)&amp;"G0"&amp;" X"&amp;initialize!$L$2&amp;" Y"&amp;initialize!$M$2&amp;initialize!$W$2&amp;CHAR(10)&amp;"G0"&amp;" Z"&amp;initialize!$N$2&amp;initialize!$W$3&amp;CHAR(10)&amp;"G0"&amp;" E"&amp;calc1!$B$5&amp;initialize!$W$5,"")</f>
        <v/>
      </c>
    </row>
  </sheetData>
  <pageMargins left="0.7" right="0.7" top="0.78740157499999996" bottom="0.78740157499999996" header="0.3" footer="0.3"/>
  <pageSetup paperSize="9" orientation="portrait" horizontalDpi="360" verticalDpi="360"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74C314-C6BA-4C89-A782-86B715E820D7}">
  <sheetPr codeName="Tabelle3"/>
  <dimension ref="A1:G14"/>
  <sheetViews>
    <sheetView showGridLines="0" zoomScale="66" zoomScaleNormal="66" workbookViewId="0">
      <selection activeCell="D3" sqref="D3"/>
    </sheetView>
  </sheetViews>
  <sheetFormatPr baseColWidth="10" defaultRowHeight="15"/>
  <cols>
    <col min="1" max="1" width="10.7109375" customWidth="1"/>
    <col min="2" max="2" width="58.42578125" customWidth="1"/>
    <col min="3" max="3" width="26.28515625" bestFit="1" customWidth="1"/>
    <col min="4" max="4" width="35.7109375" customWidth="1"/>
    <col min="5" max="5" width="11" customWidth="1"/>
    <col min="6" max="6" width="12.42578125" bestFit="1" customWidth="1"/>
    <col min="7" max="7" width="36.5703125" bestFit="1" customWidth="1"/>
  </cols>
  <sheetData>
    <row r="1" spans="1:7">
      <c r="A1" s="10"/>
      <c r="B1" s="10" t="s">
        <v>167</v>
      </c>
      <c r="C1" s="10" t="s">
        <v>25</v>
      </c>
      <c r="D1" s="10" t="s">
        <v>170</v>
      </c>
      <c r="F1" s="40"/>
      <c r="G1" s="40" t="s">
        <v>168</v>
      </c>
    </row>
    <row r="2" spans="1:7" ht="173.45" customHeight="1">
      <c r="A2" s="95" t="s">
        <v>246</v>
      </c>
      <c r="B2" s="20" t="str">
        <f>IF(modify!E3=TRUE,
calc2!$A$14&amp;REPLACE(N("turn heating on"),1,1,"")&amp;CHAR(10)&amp;
calc2!$B$2&amp;REPLACE(N("change settings"),1,1,"")&amp;CHAR(10)&amp;
calc2!C14&amp;REPLACE(N("enable cold extrusion"),1,1,"")&amp;CHAR(10)&amp;
IF(modify!E5=TRUE,
calc2!A2&amp;CHAR(10)&amp;
calc2!B11&amp;REPLACE(N("washing program"),1,1,""),
calc2!$D$8&amp;REPLACE(N("cleaning at start"),1,1,"")),
IF(modify!E3=TRUE,
calc2!$D$14&amp;REPLACE(N("wait for temperature"),1,1,""),""))</f>
        <v>M104 S50						; turn heating on
M201 E2000 X2000 Y2000 Z200			; increase max. acceleration
M203 E10000 X20000 Y20000 Z10000		; increase max. feedrate
G90							; absolute positioning
M83							; put E axis into relative mode
G28							; homing
M302 S0						; enable cold extrusion
G0 Z3,5 F500
G0 X191 Y212 F20000				; move to cleaning solution
G0 Z0,05 F500
G1 E-248 F900					; fill syringe
G4 S1							; waiting time to fill syringe
G1 E248 F10000					; empty syringe
G1 E-248 F900
G4 S1
G1 E248 F10000
G1 E-248 F900
G4 S1
G1 E248 F10000</v>
      </c>
      <c r="C2" s="73" t="s">
        <v>245</v>
      </c>
      <c r="D2" s="41" t="str">
        <f>IF(modify!E3=TRUE,
calc2!B14&amp;REPLACE(N("turn heating on"),1,1,""),"")&amp;CHAR(10)&amp;
calc2!$E$8&amp;REPLACE(N("cleaning at end"),1,1,"")&amp;CHAR(10)&amp;
calc2!$C$2&amp;REPLACE(N("stop code"),1,1,"")&amp;CHAR(10)&amp;
IF(modify!E6=TRUE,calc2!C11&amp;REPLACE(N("end sound"),1,1,""))</f>
        <v xml:space="preserve">M104 S0						; turn heating off
; cleaning at the end
G0 Z3,5 F500
G0 X191 Y212 F20000				; move to cleaning solution
G0 Z0,05 F500
G0 E-16,1745 F500					; retract
G0 Z3,5 F500
G0 X226 Y212 F20000				; move to waste bin
G0 Z2 F500
G0 E16,1745 F2500					; extrude cleaning solution
G4 P300						;pause
G0 Z3,5 F500
G0 X191 Y212 F20000				; move to cleaning solution
G0 Z0,05 F500
G0 E-16,1745 F500					; retract
G0 Z3,5 F500
G0 X226 Y212 F20000				; move to waste bin
G0 Z2 F500
G0 E16,1745 F2500					; extrude cleaning solution
G4 P300						;pause
G0 Z3,5 F500
G0 X250 Y330 F20000						; move to parking position
G0 Z0,05 F500
M300 S880 P75
M300 S0 P880
M300 S880 P75
M300 S0 P75
M300 S880 P75
M300 S0 P300
M300 S880 P75
M300 S0 P880
M300 S880 P75
M300 S0 P300
M300 S880 P75
M300 S0 P880
M300 S880 P75
M300 S0 P880
M300 S880 P75
M300 S0 P75
M300 S880 P75
M300 S0 P300
M300 S880 P75
M300 S0 P880
M300 S880 P75
M300 S0 P300
M300 S880 P75
M300 S0 P880
M300 S880 P75
M300 S0 P880
M300 S880 P75
M300 S0 P75
M300 S880 P75
M300 S0 P300
M300 S880 P75
M300 S0 P880
M300 S880 P75
M300 S0 P300
M300 S880 P75
M300 S0 P880
</v>
      </c>
      <c r="E2" s="74"/>
      <c r="F2" s="96" t="s">
        <v>32</v>
      </c>
      <c r="G2" s="20" t="str">
        <f xml:space="preserve">   calc2!B2&amp;     REPLACE(N("change settings"),1,1,"")&amp;CHAR(10)&amp;
     calc2!A2&amp;      REPLACE(N("move capillary up"),1,1,"")&amp;CHAR(10)&amp;
    calc2!A11&amp;                 REPLACE(N("main program"),1,1,"")&amp;CHAR(10)&amp;
    calc2!D2&amp;       REPLACE(N("pause at the end"),1,1,"")</f>
        <v xml:space="preserve">M201 E2000 X2000 Y2000 Z200			; increase max. acceleration
M203 E10000 X20000 Y20000 Z10000		; increase max. feedrate
G90							; absolute positioning
M83							; put E axis into relative mode
G28							; homing
G0 Z3,5 F500
G0 X175,8 Y59 F20000
G0 Z0,9 F500
G4 S1							; waiting time to prevent abortion of the printing process
G4 S1
G4 S1
G4 S1
G4 S1
G4 S1
G4 S1
G4 S1
</v>
      </c>
    </row>
    <row r="3" spans="1:7" ht="198.6" customHeight="1">
      <c r="A3" s="94" t="s">
        <v>169</v>
      </c>
      <c r="B3" s="76" t="str">
        <f>calc2!B2&amp;REPLACE(N("change settings"),1,1,"")</f>
        <v>M201 E2000 X2000 Y2000 Z200			; increase max. acceleration
M203 E10000 X20000 Y20000 Z10000		; increase max. feedrate
G90							; absolute positioning
M83							; put E axis into relative mode
G28							; homing</v>
      </c>
      <c r="C3" s="76" t="s">
        <v>244</v>
      </c>
      <c r="D3" s="76" t="str">
        <f>calc2!C2&amp;REPLACE(N("stop code"),1,1,"")&amp;CHAR(10)&amp;
calc2!D2&amp;REPLACE(N("pause at the end"),1,1,"")</f>
        <v xml:space="preserve">G0 Z3,5 F500
G0 X250 Y330 F20000						; move to parking position
G0 Z0,05 F500
G4 S1							; waiting time to prevent abortion of the printing process
G4 S1
G4 S1
G4 S1
G4 S1
G4 S1
G4 S1
G4 S1
</v>
      </c>
      <c r="E3" s="74"/>
      <c r="F3" s="94" t="s">
        <v>223</v>
      </c>
      <c r="G3" s="71" t="str">
        <f>calc2!B2&amp;REPLACE(N("change settings"),1,1,"")&amp;CHAR(10)&amp;
calc2!C14&amp;REPLACE(N("enable cold extrusion"),1,1,"")&amp;CHAR(10)&amp;
calc2!A2&amp;REPLACE(N("move syringe up"),1,1,"")&amp;CHAR(10)&amp;
calc2!B11&amp;REPLACE(N("main program"),1,1,"")&amp;CHAR(10)&amp;
calc2!C2&amp;REPLACE(N("move to rest position"),1,1,"")&amp;CHAR(10)&amp;
calc2!D2&amp;REPLACE(N("pause at the end"),1,1,"")</f>
        <v xml:space="preserve">M201 E2000 X2000 Y2000 Z200			; increase max. acceleration
M203 E10000 X20000 Y20000 Z10000		; increase max. feedrate
G90							; absolute positioning
M83							; put E axis into relative mode
G28							; homing
M302 S0						; enable cold extrusion
G0 Z3,5 F500
G0 X191 Y212 F20000				; move to cleaning solution
G0 Z0,05 F500
G1 E-248 F900					; fill syringe
G4 S1							; waiting time to fill syringe
G1 E248 F10000					; empty syringe
G1 E-248 F900
G4 S1
G1 E248 F10000
G1 E-248 F900
G4 S1
G1 E248 F10000
G0 Z3,5 F500
G0 X250 Y330 F20000						; move to parking position
G0 Z0,05 F500
G4 S1							; waiting time to prevent abortion of the printing process
G4 S1
G4 S1
G4 S1
G4 S1
G4 S1
G4 S1
G4 S1
</v>
      </c>
    </row>
    <row r="4" spans="1:7">
      <c r="B4" s="1"/>
      <c r="C4" s="1"/>
    </row>
    <row r="14" spans="1:7">
      <c r="B14" t="str">
        <f>IF(export!D5=TRUE, calc2!$A$2 &amp; REPLACE(N("move syringe up"),1,1,""),"")</f>
        <v/>
      </c>
    </row>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9">
    <pageSetUpPr fitToPage="1"/>
  </sheetPr>
  <dimension ref="A1:M119"/>
  <sheetViews>
    <sheetView showGridLines="0" topLeftCell="B1" zoomScale="180" zoomScaleNormal="180" workbookViewId="0">
      <selection activeCell="S34" sqref="S34"/>
    </sheetView>
  </sheetViews>
  <sheetFormatPr baseColWidth="10" defaultColWidth="10.7109375" defaultRowHeight="15"/>
  <cols>
    <col min="1" max="1" width="16" style="1" customWidth="1"/>
    <col min="2" max="2" width="20.7109375" style="1" customWidth="1"/>
    <col min="3" max="3" width="22.28515625" style="1" bestFit="1" customWidth="1"/>
    <col min="4" max="4" width="16.140625" style="1" customWidth="1"/>
    <col min="5" max="5" width="10.42578125" style="1" bestFit="1" customWidth="1"/>
    <col min="6" max="6" width="12.140625" style="1" customWidth="1"/>
    <col min="7" max="7" width="14.28515625" style="1" bestFit="1" customWidth="1"/>
    <col min="8" max="8" width="23.7109375" style="1" bestFit="1" customWidth="1"/>
    <col min="10" max="10" width="18.28515625" bestFit="1" customWidth="1"/>
    <col min="11" max="11" width="17" customWidth="1"/>
    <col min="12" max="12" width="23.42578125" bestFit="1" customWidth="1"/>
    <col min="13" max="13" width="24.140625" bestFit="1" customWidth="1"/>
  </cols>
  <sheetData>
    <row r="1" spans="1:13" ht="45">
      <c r="A1" s="51"/>
      <c r="B1" s="52" t="s">
        <v>193</v>
      </c>
      <c r="C1" s="52" t="s">
        <v>236</v>
      </c>
      <c r="D1" s="52" t="s">
        <v>243</v>
      </c>
      <c r="E1" s="52" t="s">
        <v>241</v>
      </c>
      <c r="F1" s="52" t="s">
        <v>242</v>
      </c>
      <c r="G1" s="52" t="s">
        <v>247</v>
      </c>
      <c r="H1" s="53" t="s">
        <v>34</v>
      </c>
      <c r="J1" s="32"/>
      <c r="K1" s="47" t="s">
        <v>193</v>
      </c>
      <c r="L1" s="47" t="s">
        <v>100</v>
      </c>
      <c r="M1" s="55" t="s">
        <v>218</v>
      </c>
    </row>
    <row r="2" spans="1:13">
      <c r="A2" s="118" t="s">
        <v>192</v>
      </c>
      <c r="B2" s="32" t="s">
        <v>189</v>
      </c>
      <c r="C2" s="32" t="s">
        <v>160</v>
      </c>
      <c r="D2" s="93" t="s">
        <v>93</v>
      </c>
      <c r="E2" s="93" t="str" cm="1">
        <f t="array" aca="1" ref="E2" ca="1">MID(CELL("filename",modify!B2),FIND("]",CELL("filename",modify!B2))+1,31)</f>
        <v>modify</v>
      </c>
      <c r="F2" s="32">
        <f>ROW(modify!B2)</f>
        <v>2</v>
      </c>
      <c r="G2" s="32">
        <f>COLUMN(modify!B2)</f>
        <v>2</v>
      </c>
      <c r="H2" s="32"/>
      <c r="J2" s="121" t="s">
        <v>211</v>
      </c>
      <c r="K2" s="51" t="s">
        <v>156</v>
      </c>
      <c r="L2" s="51" t="s">
        <v>202</v>
      </c>
      <c r="M2" s="54"/>
    </row>
    <row r="3" spans="1:13">
      <c r="A3" s="119"/>
      <c r="B3" s="32" t="s">
        <v>190</v>
      </c>
      <c r="C3" s="32" t="s">
        <v>161</v>
      </c>
      <c r="D3" s="93" t="s">
        <v>93</v>
      </c>
      <c r="E3" s="93" t="str" cm="1">
        <f t="array" aca="1" ref="E3" ca="1">MID(CELL("filename",modify!B3),FIND("]",CELL("filename",modify!B3))+1,31)</f>
        <v>modify</v>
      </c>
      <c r="F3" s="32">
        <f>ROW(modify!B3)</f>
        <v>3</v>
      </c>
      <c r="G3" s="32">
        <f>COLUMN(modify!B3)</f>
        <v>2</v>
      </c>
      <c r="H3" s="32"/>
      <c r="J3" s="121"/>
      <c r="K3" s="51" t="s">
        <v>156</v>
      </c>
      <c r="L3" s="51" t="s">
        <v>203</v>
      </c>
      <c r="M3" s="54"/>
    </row>
    <row r="4" spans="1:13">
      <c r="A4" s="119"/>
      <c r="B4" s="32" t="s">
        <v>156</v>
      </c>
      <c r="C4" s="32" t="s">
        <v>105</v>
      </c>
      <c r="D4" s="93" t="s">
        <v>93</v>
      </c>
      <c r="E4" s="93" t="str" cm="1">
        <f t="array" aca="1" ref="E4" ca="1">MID(CELL("filename",modify!B6),FIND("]",CELL("filename",modify!B6))+1,31)</f>
        <v>modify</v>
      </c>
      <c r="F4" s="32">
        <f>ROW(modify!B6)</f>
        <v>6</v>
      </c>
      <c r="G4" s="32">
        <f>COLUMN(modify!B6)</f>
        <v>2</v>
      </c>
      <c r="H4" s="32"/>
      <c r="J4" s="121"/>
      <c r="K4" s="51" t="s">
        <v>156</v>
      </c>
      <c r="L4" s="51" t="s">
        <v>204</v>
      </c>
      <c r="M4" s="54"/>
    </row>
    <row r="5" spans="1:13">
      <c r="A5" s="119"/>
      <c r="B5" s="32" t="s">
        <v>156</v>
      </c>
      <c r="C5" s="32" t="s">
        <v>106</v>
      </c>
      <c r="D5" s="93" t="s">
        <v>93</v>
      </c>
      <c r="E5" s="93" t="str" cm="1">
        <f t="array" aca="1" ref="E5" ca="1">MID(CELL("filename",modify!K2),FIND("]",CELL("filename",modify!K2))+1,31)</f>
        <v>modify</v>
      </c>
      <c r="F5" s="32">
        <f>ROW(modify!K2)</f>
        <v>2</v>
      </c>
      <c r="G5" s="32">
        <f>COLUMN(modify!K2)</f>
        <v>11</v>
      </c>
      <c r="H5" s="32"/>
      <c r="J5" s="121"/>
      <c r="K5" s="51" t="s">
        <v>156</v>
      </c>
      <c r="L5" s="51" t="s">
        <v>205</v>
      </c>
      <c r="M5" s="54"/>
    </row>
    <row r="6" spans="1:13">
      <c r="A6" s="119"/>
      <c r="B6" s="32" t="s">
        <v>156</v>
      </c>
      <c r="C6" s="32" t="s">
        <v>163</v>
      </c>
      <c r="D6" s="93" t="s">
        <v>93</v>
      </c>
      <c r="E6" s="93" t="str" cm="1">
        <f t="array" aca="1" ref="E6" ca="1">MID(CELL("filename",modify!K3),FIND("]",CELL("filename",modify!K3))+1,31)</f>
        <v>modify</v>
      </c>
      <c r="F6" s="32">
        <f>ROW(modify!K3)</f>
        <v>3</v>
      </c>
      <c r="G6" s="32">
        <f>COLUMN(modify!K3)</f>
        <v>11</v>
      </c>
      <c r="H6" s="32"/>
      <c r="J6" s="121"/>
      <c r="K6" s="51" t="s">
        <v>156</v>
      </c>
      <c r="L6" s="51" t="s">
        <v>206</v>
      </c>
      <c r="M6" s="54"/>
    </row>
    <row r="7" spans="1:13">
      <c r="A7" s="119"/>
      <c r="B7" s="32" t="s">
        <v>156</v>
      </c>
      <c r="C7" s="32" t="s">
        <v>164</v>
      </c>
      <c r="D7" s="93" t="s">
        <v>93</v>
      </c>
      <c r="E7" s="93" t="str" cm="1">
        <f t="array" aca="1" ref="E7" ca="1">MID(CELL("filename",modify!K4),FIND("]",CELL("filename",modify!K4))+1,31)</f>
        <v>modify</v>
      </c>
      <c r="F7" s="32">
        <f>ROW(modify!K4)</f>
        <v>4</v>
      </c>
      <c r="G7" s="32">
        <f>COLUMN(modify!K4)</f>
        <v>11</v>
      </c>
      <c r="H7" s="32"/>
      <c r="J7" s="121"/>
      <c r="K7" s="51" t="s">
        <v>156</v>
      </c>
      <c r="L7" s="51" t="s">
        <v>207</v>
      </c>
      <c r="M7" s="54"/>
    </row>
    <row r="8" spans="1:13">
      <c r="A8" s="119"/>
      <c r="B8" s="32" t="s">
        <v>156</v>
      </c>
      <c r="C8" s="32" t="s">
        <v>165</v>
      </c>
      <c r="D8" s="93" t="s">
        <v>93</v>
      </c>
      <c r="E8" s="93" t="str" cm="1">
        <f t="array" aca="1" ref="E8" ca="1">MID(CELL("filename",modify!K5),FIND("]",CELL("filename",modify!K5))+1,31)</f>
        <v>modify</v>
      </c>
      <c r="F8" s="32">
        <f>ROW(modify!K5)</f>
        <v>5</v>
      </c>
      <c r="G8" s="32">
        <f>COLUMN(modify!K5)</f>
        <v>11</v>
      </c>
      <c r="H8" s="32"/>
      <c r="J8" s="121"/>
      <c r="K8" s="51" t="s">
        <v>156</v>
      </c>
      <c r="L8" s="51" t="s">
        <v>208</v>
      </c>
      <c r="M8" s="54"/>
    </row>
    <row r="9" spans="1:13">
      <c r="A9" s="119"/>
      <c r="B9" s="32" t="s">
        <v>189</v>
      </c>
      <c r="C9" s="32" t="s">
        <v>101</v>
      </c>
      <c r="D9" s="93" t="s">
        <v>93</v>
      </c>
      <c r="E9" s="93" t="str" cm="1">
        <f t="array" aca="1" ref="E9" ca="1">MID(CELL("filename",modify!E2),FIND("]",CELL("filename",modify!E2))+1,31)</f>
        <v>modify</v>
      </c>
      <c r="F9" s="32">
        <f>ROW(modify!E2)</f>
        <v>2</v>
      </c>
      <c r="G9" s="32">
        <f>COLUMN(modify!E2)</f>
        <v>5</v>
      </c>
      <c r="H9" s="32"/>
      <c r="J9" s="121"/>
      <c r="K9" s="51" t="s">
        <v>156</v>
      </c>
      <c r="L9" s="51" t="s">
        <v>209</v>
      </c>
      <c r="M9" s="54"/>
    </row>
    <row r="10" spans="1:13">
      <c r="A10" s="119"/>
      <c r="B10" s="32" t="s">
        <v>156</v>
      </c>
      <c r="C10" s="32" t="s">
        <v>102</v>
      </c>
      <c r="D10" s="93" t="s">
        <v>93</v>
      </c>
      <c r="E10" s="93" t="str" cm="1">
        <f t="array" aca="1" ref="E10" ca="1">MID(CELL("filename",modify!H2),FIND("]",CELL("filename",modify!H2))+1,31)</f>
        <v>modify</v>
      </c>
      <c r="F10" s="32">
        <f>ROW(modify!H2)</f>
        <v>2</v>
      </c>
      <c r="G10" s="32">
        <f>COLUMN(modify!H2)</f>
        <v>8</v>
      </c>
      <c r="H10" s="32"/>
      <c r="J10" s="121"/>
      <c r="K10" s="51" t="s">
        <v>156</v>
      </c>
      <c r="L10" s="51" t="s">
        <v>210</v>
      </c>
      <c r="M10" s="54"/>
    </row>
    <row r="11" spans="1:13">
      <c r="A11" s="119"/>
      <c r="B11" s="32" t="s">
        <v>156</v>
      </c>
      <c r="C11" s="32" t="s">
        <v>103</v>
      </c>
      <c r="D11" s="93" t="s">
        <v>93</v>
      </c>
      <c r="E11" s="93" t="str" cm="1">
        <f t="array" aca="1" ref="E11" ca="1">MID(CELL("filename",modify!H3),FIND("]",CELL("filename",modify!H3))+1,31)</f>
        <v>modify</v>
      </c>
      <c r="F11" s="32">
        <f>ROW(modify!H3)</f>
        <v>3</v>
      </c>
      <c r="G11" s="32">
        <f>COLUMN(modify!H3)</f>
        <v>8</v>
      </c>
      <c r="H11" s="32"/>
      <c r="J11" s="121"/>
      <c r="K11" s="51" t="s">
        <v>157</v>
      </c>
      <c r="L11" s="51" t="s">
        <v>139</v>
      </c>
      <c r="M11" s="54"/>
    </row>
    <row r="12" spans="1:13">
      <c r="A12" s="119"/>
      <c r="B12" s="32" t="s">
        <v>156</v>
      </c>
      <c r="C12" s="32" t="s">
        <v>104</v>
      </c>
      <c r="D12" s="93" t="s">
        <v>93</v>
      </c>
      <c r="E12" s="93" t="str" cm="1">
        <f t="array" aca="1" ref="E12" ca="1">MID(CELL("filename",modify!H4),FIND("]",CELL("filename",modify!H4))+1,31)</f>
        <v>modify</v>
      </c>
      <c r="F12" s="32">
        <f>ROW(modify!H4)</f>
        <v>4</v>
      </c>
      <c r="G12" s="32">
        <f>COLUMN(modify!H4)</f>
        <v>8</v>
      </c>
      <c r="H12" s="32"/>
      <c r="J12" s="121"/>
      <c r="K12" s="51" t="s">
        <v>157</v>
      </c>
      <c r="L12" s="51" t="s">
        <v>141</v>
      </c>
      <c r="M12" s="54"/>
    </row>
    <row r="13" spans="1:13">
      <c r="A13" s="119"/>
      <c r="B13" s="32" t="s">
        <v>156</v>
      </c>
      <c r="C13" s="32" t="s">
        <v>162</v>
      </c>
      <c r="D13" s="93" t="s">
        <v>93</v>
      </c>
      <c r="E13" s="93" t="str" cm="1">
        <f t="array" aca="1" ref="E13" ca="1">MID(CELL("filename",modify!H5),FIND("]",CELL("filename",modify!H5))+1,31)</f>
        <v>modify</v>
      </c>
      <c r="F13" s="32">
        <f>ROW(modify!H5)</f>
        <v>5</v>
      </c>
      <c r="G13" s="32">
        <f>COLUMN(modify!H5)</f>
        <v>8</v>
      </c>
      <c r="H13" s="32"/>
      <c r="J13" s="1"/>
      <c r="K13" s="1"/>
      <c r="L13" s="1"/>
    </row>
    <row r="14" spans="1:13">
      <c r="A14" s="119"/>
      <c r="B14" s="32" t="s">
        <v>156</v>
      </c>
      <c r="C14" s="32" t="s">
        <v>191</v>
      </c>
      <c r="D14" s="93" t="s">
        <v>93</v>
      </c>
      <c r="E14" s="93" t="str" cm="1">
        <f t="array" aca="1" ref="E14" ca="1">MID(CELL("filename",modify!E4),FIND("]",CELL("filename",modify!E4))+1,31)</f>
        <v>modify</v>
      </c>
      <c r="F14" s="32">
        <f>ROW(modify!E4)</f>
        <v>4</v>
      </c>
      <c r="G14" s="32">
        <f>COLUMN(modify!E4)</f>
        <v>5</v>
      </c>
      <c r="H14" s="32"/>
      <c r="J14" s="118" t="s">
        <v>212</v>
      </c>
      <c r="K14" s="32" t="s">
        <v>189</v>
      </c>
      <c r="L14" s="32" t="s">
        <v>202</v>
      </c>
      <c r="M14" s="50"/>
    </row>
    <row r="15" spans="1:13" ht="30">
      <c r="A15" s="119"/>
      <c r="B15" s="32" t="s">
        <v>190</v>
      </c>
      <c r="C15" s="32" t="s">
        <v>235</v>
      </c>
      <c r="D15" s="93" t="s">
        <v>93</v>
      </c>
      <c r="E15" s="93" t="str" cm="1">
        <f t="array" aca="1" ref="E15" ca="1">MID(CELL("filename",modify!E3),FIND("]",CELL("filename",modify!E3))+1,31)</f>
        <v>modify</v>
      </c>
      <c r="F15" s="32">
        <f>ROW(modify!E3)</f>
        <v>3</v>
      </c>
      <c r="G15" s="32">
        <f>COLUMN(modify!E3)</f>
        <v>5</v>
      </c>
      <c r="H15" s="32"/>
      <c r="J15" s="119"/>
      <c r="K15" s="32" t="s">
        <v>156</v>
      </c>
      <c r="L15" s="32" t="s">
        <v>203</v>
      </c>
      <c r="M15" s="50"/>
    </row>
    <row r="16" spans="1:13" ht="30">
      <c r="A16" s="119"/>
      <c r="B16" s="32" t="s">
        <v>190</v>
      </c>
      <c r="C16" s="32" t="s">
        <v>237</v>
      </c>
      <c r="D16" s="93" t="s">
        <v>93</v>
      </c>
      <c r="E16" s="93" t="str" cm="1">
        <f t="array" aca="1" ref="E16" ca="1">MID(CELL("filename",modify!E5),FIND("]",CELL("filename",modify!E5))+1,31)</f>
        <v>modify</v>
      </c>
      <c r="F16" s="32">
        <f>ROW(modify!E5)</f>
        <v>5</v>
      </c>
      <c r="G16" s="32">
        <f>COLUMN(modify!E5)</f>
        <v>5</v>
      </c>
      <c r="H16" s="32"/>
      <c r="J16" s="119"/>
      <c r="K16" s="32" t="s">
        <v>156</v>
      </c>
      <c r="L16" s="32" t="s">
        <v>204</v>
      </c>
      <c r="M16" s="50"/>
    </row>
    <row r="17" spans="1:13" ht="30">
      <c r="A17" s="119"/>
      <c r="B17" s="32" t="s">
        <v>190</v>
      </c>
      <c r="C17" s="32" t="s">
        <v>238</v>
      </c>
      <c r="D17" s="93" t="s">
        <v>93</v>
      </c>
      <c r="E17" s="93" t="str" cm="1">
        <f t="array" aca="1" ref="E17" ca="1">MID(CELL("filename",modify!E6),FIND("]",CELL("filename",modify!E6))+1,31)</f>
        <v>modify</v>
      </c>
      <c r="F17" s="32">
        <f>ROW(modify!E6)</f>
        <v>6</v>
      </c>
      <c r="G17" s="32">
        <f>COLUMN(modify!E6)</f>
        <v>5</v>
      </c>
      <c r="H17" s="32"/>
      <c r="J17" s="119"/>
      <c r="K17" s="32" t="s">
        <v>156</v>
      </c>
      <c r="L17" s="32" t="s">
        <v>205</v>
      </c>
      <c r="M17" s="50"/>
    </row>
    <row r="18" spans="1:13">
      <c r="A18" s="119"/>
      <c r="B18" s="32"/>
      <c r="C18" s="32" t="s">
        <v>239</v>
      </c>
      <c r="D18" s="93" t="s">
        <v>94</v>
      </c>
      <c r="E18" s="93" t="str" cm="1">
        <f t="array" aca="1" ref="E18" ca="1">MID(CELL("filename",calc1!H2),FIND("]",CELL("filename",calc1!H2))+1,31)</f>
        <v>calc1</v>
      </c>
      <c r="F18" s="32">
        <f>ROW(calc1!H2)</f>
        <v>2</v>
      </c>
      <c r="G18" s="32">
        <f>COLUMN(calc1!B7)</f>
        <v>2</v>
      </c>
      <c r="H18" s="32"/>
      <c r="J18" s="119"/>
      <c r="K18" s="32" t="s">
        <v>156</v>
      </c>
      <c r="L18" s="32" t="s">
        <v>206</v>
      </c>
      <c r="M18" s="50"/>
    </row>
    <row r="19" spans="1:13">
      <c r="A19" s="119"/>
      <c r="B19" s="32"/>
      <c r="C19" s="32" t="s">
        <v>240</v>
      </c>
      <c r="D19" s="93" t="s">
        <v>94</v>
      </c>
      <c r="E19" s="93" t="str" cm="1">
        <f t="array" aca="1" ref="E19" ca="1">MID(CELL("filename",calc1!B7),FIND("]",CELL("filename",calc1!B7))+1,31)</f>
        <v>calc1</v>
      </c>
      <c r="F19" s="32">
        <f>ROW(calc1!B7)</f>
        <v>7</v>
      </c>
      <c r="G19" s="32">
        <f>COLUMN(calc1!H3)</f>
        <v>8</v>
      </c>
      <c r="H19" s="32"/>
      <c r="J19" s="119"/>
      <c r="K19" s="32" t="s">
        <v>156</v>
      </c>
      <c r="L19" s="32" t="s">
        <v>207</v>
      </c>
      <c r="M19" s="50"/>
    </row>
    <row r="20" spans="1:13">
      <c r="A20" s="119"/>
      <c r="B20" s="32" t="s">
        <v>157</v>
      </c>
      <c r="C20" s="32" t="s">
        <v>139</v>
      </c>
      <c r="D20" s="93"/>
      <c r="E20" s="93"/>
      <c r="F20" s="32"/>
      <c r="G20" s="32"/>
      <c r="H20" s="32"/>
      <c r="J20" s="119"/>
      <c r="K20" s="32" t="s">
        <v>156</v>
      </c>
      <c r="L20" s="32" t="s">
        <v>208</v>
      </c>
      <c r="M20" s="50"/>
    </row>
    <row r="21" spans="1:13">
      <c r="A21" s="119"/>
      <c r="B21" s="32" t="s">
        <v>157</v>
      </c>
      <c r="C21" s="32" t="s">
        <v>140</v>
      </c>
      <c r="D21" s="93"/>
      <c r="E21" s="93"/>
      <c r="F21" s="32"/>
      <c r="G21" s="32"/>
      <c r="H21" s="32"/>
      <c r="J21" s="119"/>
      <c r="K21" s="32" t="s">
        <v>156</v>
      </c>
      <c r="L21" s="32" t="s">
        <v>209</v>
      </c>
      <c r="M21" s="50"/>
    </row>
    <row r="22" spans="1:13">
      <c r="A22" s="120"/>
      <c r="B22" s="32" t="s">
        <v>157</v>
      </c>
      <c r="C22" s="32" t="s">
        <v>141</v>
      </c>
      <c r="D22" s="93"/>
      <c r="E22" s="93"/>
      <c r="F22" s="32"/>
      <c r="G22" s="32"/>
      <c r="H22" s="32"/>
      <c r="J22" s="119"/>
      <c r="K22" s="32" t="s">
        <v>156</v>
      </c>
      <c r="L22" s="32" t="s">
        <v>210</v>
      </c>
      <c r="M22" s="50"/>
    </row>
    <row r="23" spans="1:13">
      <c r="J23" s="119"/>
      <c r="K23" s="32" t="s">
        <v>157</v>
      </c>
      <c r="L23" s="32" t="s">
        <v>139</v>
      </c>
      <c r="M23" s="50"/>
    </row>
    <row r="24" spans="1:13">
      <c r="A24" s="124" t="s">
        <v>92</v>
      </c>
      <c r="B24" s="51" t="s">
        <v>155</v>
      </c>
      <c r="C24" s="51" t="s">
        <v>152</v>
      </c>
      <c r="D24" s="51" t="s">
        <v>92</v>
      </c>
      <c r="E24" s="51" t="str" cm="1">
        <f t="array" aca="1" ref="E24" ca="1">MID(CELL("filename",export!G2),FIND("]",CELL("filename",export!G2))+1,31)</f>
        <v>export</v>
      </c>
      <c r="F24" s="51">
        <f>ROW(export!G2)</f>
        <v>2</v>
      </c>
      <c r="G24" s="51">
        <f>COLUMN(export!G2)</f>
        <v>7</v>
      </c>
      <c r="H24" s="54" t="s">
        <v>142</v>
      </c>
      <c r="J24" s="119"/>
      <c r="K24" s="32" t="s">
        <v>157</v>
      </c>
      <c r="L24" s="32" t="s">
        <v>141</v>
      </c>
      <c r="M24" s="50"/>
    </row>
    <row r="25" spans="1:13">
      <c r="A25" s="125"/>
      <c r="B25" s="51" t="s">
        <v>155</v>
      </c>
      <c r="C25" s="51" t="s">
        <v>153</v>
      </c>
      <c r="D25" s="51" t="s">
        <v>92</v>
      </c>
      <c r="E25" s="51" t="str" cm="1">
        <f t="array" aca="1" ref="E25" ca="1">MID(CELL("filename",export!G3),FIND("]",CELL("filename",export!G3))+1,31)</f>
        <v>export</v>
      </c>
      <c r="F25" s="51">
        <f>ROW(export!G3)</f>
        <v>3</v>
      </c>
      <c r="G25" s="51">
        <f>COLUMN(export!G3)</f>
        <v>7</v>
      </c>
      <c r="H25" s="54" t="s">
        <v>143</v>
      </c>
      <c r="J25" s="120"/>
      <c r="K25" s="32" t="s">
        <v>157</v>
      </c>
      <c r="L25" s="32" t="s">
        <v>140</v>
      </c>
      <c r="M25" s="50"/>
    </row>
    <row r="26" spans="1:13">
      <c r="A26" s="125"/>
      <c r="B26" s="51" t="s">
        <v>155</v>
      </c>
      <c r="C26" s="51" t="s">
        <v>26</v>
      </c>
      <c r="D26" s="51"/>
      <c r="E26" s="51"/>
      <c r="F26" s="51"/>
      <c r="G26" s="51"/>
      <c r="H26" s="54" t="s">
        <v>144</v>
      </c>
      <c r="J26" s="1"/>
      <c r="K26" s="1"/>
      <c r="L26" s="1"/>
    </row>
    <row r="27" spans="1:13">
      <c r="A27" s="125"/>
      <c r="B27" s="51" t="s">
        <v>155</v>
      </c>
      <c r="C27" s="51" t="s">
        <v>154</v>
      </c>
      <c r="D27" s="51"/>
      <c r="E27" s="51"/>
      <c r="F27" s="51"/>
      <c r="G27" s="51"/>
      <c r="H27" s="54" t="s">
        <v>194</v>
      </c>
      <c r="J27" s="121" t="s">
        <v>213</v>
      </c>
      <c r="K27" s="51" t="s">
        <v>189</v>
      </c>
      <c r="L27" s="51" t="s">
        <v>202</v>
      </c>
      <c r="M27" s="54"/>
    </row>
    <row r="28" spans="1:13">
      <c r="A28" s="125"/>
      <c r="B28" s="51" t="s">
        <v>155</v>
      </c>
      <c r="C28" s="51" t="s">
        <v>195</v>
      </c>
      <c r="D28" s="51"/>
      <c r="E28" s="51"/>
      <c r="F28" s="51"/>
      <c r="G28" s="51"/>
      <c r="H28" s="54" t="s">
        <v>145</v>
      </c>
      <c r="J28" s="121"/>
      <c r="K28" s="51" t="s">
        <v>156</v>
      </c>
      <c r="L28" s="51" t="s">
        <v>203</v>
      </c>
      <c r="M28" s="54"/>
    </row>
    <row r="29" spans="1:13">
      <c r="A29" s="125"/>
      <c r="B29" s="51" t="s">
        <v>156</v>
      </c>
      <c r="C29" s="51" t="s">
        <v>196</v>
      </c>
      <c r="D29" s="51" t="s">
        <v>93</v>
      </c>
      <c r="E29" s="51" t="str" cm="1">
        <f t="array" aca="1" ref="E29" ca="1">MID(CELL("filename",modify!B7),FIND("]",CELL("filename",modify!B7))+1,31)</f>
        <v>modify</v>
      </c>
      <c r="F29" s="51">
        <f>ROW(modify!B7)</f>
        <v>7</v>
      </c>
      <c r="G29" s="51">
        <f>COLUMN(modify!B7)</f>
        <v>2</v>
      </c>
      <c r="H29" s="54"/>
      <c r="J29" s="121"/>
      <c r="K29" s="51" t="s">
        <v>156</v>
      </c>
      <c r="L29" s="51" t="s">
        <v>204</v>
      </c>
      <c r="M29" s="54"/>
    </row>
    <row r="30" spans="1:13">
      <c r="A30" s="125"/>
      <c r="B30" s="51" t="s">
        <v>157</v>
      </c>
      <c r="C30" s="51" t="s">
        <v>92</v>
      </c>
      <c r="D30" s="51"/>
      <c r="E30" s="51"/>
      <c r="F30" s="51"/>
      <c r="G30" s="51"/>
      <c r="H30" s="51"/>
      <c r="J30" s="121"/>
      <c r="K30" s="51" t="s">
        <v>156</v>
      </c>
      <c r="L30" s="51" t="s">
        <v>205</v>
      </c>
      <c r="M30" s="54"/>
    </row>
    <row r="31" spans="1:13">
      <c r="A31" s="126"/>
      <c r="B31" s="51" t="s">
        <v>157</v>
      </c>
      <c r="C31" s="51" t="s">
        <v>141</v>
      </c>
      <c r="D31" s="51"/>
      <c r="E31" s="51"/>
      <c r="F31" s="51"/>
      <c r="G31" s="51"/>
      <c r="H31" s="51"/>
      <c r="J31" s="121"/>
      <c r="K31" s="51" t="s">
        <v>156</v>
      </c>
      <c r="L31" s="51" t="s">
        <v>206</v>
      </c>
      <c r="M31" s="54"/>
    </row>
    <row r="32" spans="1:13">
      <c r="J32" s="121"/>
      <c r="K32" s="51" t="s">
        <v>156</v>
      </c>
      <c r="L32" s="51" t="s">
        <v>207</v>
      </c>
      <c r="M32" s="54"/>
    </row>
    <row r="33" spans="1:13">
      <c r="A33" s="118" t="s">
        <v>201</v>
      </c>
      <c r="B33" s="32" t="s">
        <v>156</v>
      </c>
      <c r="C33" s="32" t="s">
        <v>126</v>
      </c>
      <c r="D33" s="93" t="s">
        <v>96</v>
      </c>
      <c r="E33" s="93" t="str" cm="1">
        <f t="array" aca="1" ref="E33" ca="1">MID(CELL("filename",initialize!L4),FIND("]",CELL("filename",initialize!L4))+1,31)</f>
        <v>initialize</v>
      </c>
      <c r="F33" s="32">
        <f>ROW(initialize!L4)</f>
        <v>4</v>
      </c>
      <c r="G33" s="32">
        <f>COLUMN(initialize!L4)</f>
        <v>12</v>
      </c>
      <c r="H33" s="32"/>
      <c r="J33" s="121"/>
      <c r="K33" s="51" t="s">
        <v>156</v>
      </c>
      <c r="L33" s="51" t="s">
        <v>208</v>
      </c>
      <c r="M33" s="54"/>
    </row>
    <row r="34" spans="1:13">
      <c r="A34" s="119"/>
      <c r="B34" s="32" t="s">
        <v>156</v>
      </c>
      <c r="C34" s="32" t="s">
        <v>127</v>
      </c>
      <c r="D34" s="93" t="s">
        <v>96</v>
      </c>
      <c r="E34" s="93" t="str" cm="1">
        <f t="array" aca="1" ref="E34" ca="1">MID(CELL("filename",initialize!M4),FIND("]",CELL("filename",initialize!M4))+1,31)</f>
        <v>initialize</v>
      </c>
      <c r="F34" s="32">
        <f>ROW(initialize!M4)</f>
        <v>4</v>
      </c>
      <c r="G34" s="32">
        <f>COLUMN(initialize!M4)</f>
        <v>13</v>
      </c>
      <c r="H34" s="32"/>
      <c r="J34" s="121"/>
      <c r="K34" s="51" t="s">
        <v>156</v>
      </c>
      <c r="L34" s="51" t="s">
        <v>209</v>
      </c>
      <c r="M34" s="54"/>
    </row>
    <row r="35" spans="1:13">
      <c r="A35" s="119"/>
      <c r="B35" s="32" t="s">
        <v>156</v>
      </c>
      <c r="C35" s="32" t="s">
        <v>128</v>
      </c>
      <c r="D35" s="93" t="s">
        <v>96</v>
      </c>
      <c r="E35" s="93" t="str" cm="1">
        <f t="array" aca="1" ref="E35" ca="1">MID(CELL("filename",initialize!N4),FIND("]",CELL("filename",initialize!N4))+1,31)</f>
        <v>initialize</v>
      </c>
      <c r="F35" s="32">
        <f>ROW(initialize!N4)</f>
        <v>4</v>
      </c>
      <c r="G35" s="32">
        <f>COLUMN(initialize!N4)</f>
        <v>14</v>
      </c>
      <c r="H35" s="32"/>
      <c r="J35" s="121"/>
      <c r="K35" s="51" t="s">
        <v>156</v>
      </c>
      <c r="L35" s="51" t="s">
        <v>210</v>
      </c>
      <c r="M35" s="54"/>
    </row>
    <row r="36" spans="1:13">
      <c r="A36" s="119"/>
      <c r="B36" s="32" t="s">
        <v>156</v>
      </c>
      <c r="C36" s="32" t="s">
        <v>130</v>
      </c>
      <c r="D36" s="93" t="s">
        <v>96</v>
      </c>
      <c r="E36" s="93" t="str" cm="1">
        <f t="array" aca="1" ref="E36" ca="1">MID(CELL("filename",initialize!L5),FIND("]",CELL("filename",initialize!L5))+1,31)</f>
        <v>initialize</v>
      </c>
      <c r="F36" s="32">
        <f>ROW(initialize!L5)</f>
        <v>5</v>
      </c>
      <c r="G36" s="32">
        <f>COLUMN(initialize!L5)</f>
        <v>12</v>
      </c>
      <c r="H36" s="32"/>
      <c r="J36" s="121"/>
      <c r="K36" s="51" t="s">
        <v>157</v>
      </c>
      <c r="L36" s="51" t="s">
        <v>139</v>
      </c>
      <c r="M36" s="54"/>
    </row>
    <row r="37" spans="1:13">
      <c r="A37" s="119"/>
      <c r="B37" s="32" t="s">
        <v>156</v>
      </c>
      <c r="C37" s="32" t="s">
        <v>131</v>
      </c>
      <c r="D37" s="93" t="s">
        <v>96</v>
      </c>
      <c r="E37" s="93" t="str" cm="1">
        <f t="array" aca="1" ref="E37" ca="1">MID(CELL("filename",initialize!M5),FIND("]",CELL("filename",initialize!M5))+1,31)</f>
        <v>initialize</v>
      </c>
      <c r="F37" s="32">
        <f>ROW(initialize!M5)</f>
        <v>5</v>
      </c>
      <c r="G37" s="32">
        <f>COLUMN(initialize!M5)</f>
        <v>13</v>
      </c>
      <c r="H37" s="32"/>
      <c r="J37" s="121"/>
      <c r="K37" s="51" t="s">
        <v>157</v>
      </c>
      <c r="L37" s="51" t="s">
        <v>141</v>
      </c>
      <c r="M37" s="54"/>
    </row>
    <row r="38" spans="1:13">
      <c r="A38" s="119"/>
      <c r="B38" s="32" t="s">
        <v>156</v>
      </c>
      <c r="C38" s="32" t="s">
        <v>129</v>
      </c>
      <c r="D38" s="93" t="s">
        <v>96</v>
      </c>
      <c r="E38" s="93" t="str" cm="1">
        <f t="array" aca="1" ref="E38" ca="1">MID(CELL("filename",initialize!N5),FIND("]",CELL("filename",initialize!N5))+1,31)</f>
        <v>initialize</v>
      </c>
      <c r="F38" s="32">
        <f>ROW(initialize!N5)</f>
        <v>5</v>
      </c>
      <c r="G38" s="32">
        <f>COLUMN(initialize!N5)</f>
        <v>14</v>
      </c>
      <c r="H38" s="32"/>
    </row>
    <row r="39" spans="1:13">
      <c r="A39" s="119"/>
      <c r="B39" s="32" t="s">
        <v>156</v>
      </c>
      <c r="C39" s="32" t="s">
        <v>133</v>
      </c>
      <c r="D39" s="93" t="s">
        <v>96</v>
      </c>
      <c r="E39" s="93" t="str" cm="1">
        <f t="array" aca="1" ref="E39" ca="1">MID(CELL("filename",initialize!L3),FIND("]",CELL("filename",initialize!L3))+1,31)</f>
        <v>initialize</v>
      </c>
      <c r="F39" s="32">
        <f>ROW(initialize!L3)</f>
        <v>3</v>
      </c>
      <c r="G39" s="32">
        <f>COLUMN(initialize!L3)</f>
        <v>12</v>
      </c>
      <c r="H39" s="32"/>
      <c r="J39" s="122" t="s">
        <v>217</v>
      </c>
      <c r="K39" s="50" t="s">
        <v>34</v>
      </c>
      <c r="L39" s="50" t="s">
        <v>151</v>
      </c>
      <c r="M39" s="50"/>
    </row>
    <row r="40" spans="1:13">
      <c r="A40" s="119"/>
      <c r="B40" s="32" t="s">
        <v>156</v>
      </c>
      <c r="C40" s="32" t="s">
        <v>134</v>
      </c>
      <c r="D40" s="93" t="s">
        <v>96</v>
      </c>
      <c r="E40" s="93" t="str" cm="1">
        <f t="array" aca="1" ref="E40" ca="1">MID(CELL("filename",initialize!M3),FIND("]",CELL("filename",initialize!M3))+1,31)</f>
        <v>initialize</v>
      </c>
      <c r="F40" s="32">
        <f>ROW(initialize!M3)</f>
        <v>3</v>
      </c>
      <c r="G40" s="32">
        <f>COLUMN(initialize!M3)</f>
        <v>13</v>
      </c>
      <c r="H40" s="32"/>
      <c r="J40" s="122"/>
      <c r="K40" s="50" t="s">
        <v>34</v>
      </c>
      <c r="L40" s="50" t="s">
        <v>150</v>
      </c>
      <c r="M40" s="50"/>
    </row>
    <row r="41" spans="1:13">
      <c r="A41" s="119"/>
      <c r="B41" s="32" t="s">
        <v>156</v>
      </c>
      <c r="C41" s="32" t="s">
        <v>132</v>
      </c>
      <c r="D41" s="93" t="s">
        <v>96</v>
      </c>
      <c r="E41" s="93" t="str" cm="1">
        <f t="array" aca="1" ref="E41" ca="1">MID(CELL("filename",initialize!N3),FIND("]",CELL("filename",initialize!N3))+1,31)</f>
        <v>initialize</v>
      </c>
      <c r="F41" s="32">
        <f>ROW(initialize!N3)</f>
        <v>3</v>
      </c>
      <c r="G41" s="32">
        <f>COLUMN(initialize!N3)</f>
        <v>14</v>
      </c>
      <c r="H41" s="32"/>
      <c r="J41" s="122"/>
      <c r="K41" s="50" t="s">
        <v>34</v>
      </c>
      <c r="L41" s="50" t="s">
        <v>149</v>
      </c>
      <c r="M41" s="50"/>
    </row>
    <row r="42" spans="1:13">
      <c r="A42" s="119"/>
      <c r="B42" s="32" t="s">
        <v>156</v>
      </c>
      <c r="C42" s="32" t="s">
        <v>136</v>
      </c>
      <c r="D42" s="93" t="s">
        <v>96</v>
      </c>
      <c r="E42" s="93" t="str" cm="1">
        <f t="array" aca="1" ref="E42" ca="1">MID(CELL("filename",initialize!L2),FIND("]",CELL("filename",initialize!L2))+1,31)</f>
        <v>initialize</v>
      </c>
      <c r="F42" s="32">
        <f>ROW(initialize!L2)</f>
        <v>2</v>
      </c>
      <c r="G42" s="32">
        <f>COLUMN(initialize!L2)</f>
        <v>12</v>
      </c>
      <c r="H42" s="32"/>
      <c r="J42" s="122"/>
      <c r="K42" s="50" t="s">
        <v>34</v>
      </c>
      <c r="L42" s="50" t="s">
        <v>214</v>
      </c>
      <c r="M42" s="50"/>
    </row>
    <row r="43" spans="1:13">
      <c r="A43" s="119"/>
      <c r="B43" s="32" t="s">
        <v>156</v>
      </c>
      <c r="C43" s="32" t="s">
        <v>137</v>
      </c>
      <c r="D43" s="93" t="s">
        <v>96</v>
      </c>
      <c r="E43" s="93" t="str" cm="1">
        <f t="array" aca="1" ref="E43" ca="1">MID(CELL("filename",initialize!M2),FIND("]",CELL("filename",initialize!M2))+1,31)</f>
        <v>initialize</v>
      </c>
      <c r="F43" s="32">
        <f>ROW(initialize!M2)</f>
        <v>2</v>
      </c>
      <c r="G43" s="32">
        <f>COLUMN(initialize!M2)</f>
        <v>13</v>
      </c>
      <c r="H43" s="32"/>
      <c r="J43" s="122"/>
      <c r="K43" s="50" t="s">
        <v>34</v>
      </c>
      <c r="L43" s="50" t="s">
        <v>215</v>
      </c>
      <c r="M43" s="50"/>
    </row>
    <row r="44" spans="1:13">
      <c r="A44" s="119"/>
      <c r="B44" s="32" t="s">
        <v>156</v>
      </c>
      <c r="C44" s="32" t="s">
        <v>135</v>
      </c>
      <c r="D44" s="93" t="s">
        <v>96</v>
      </c>
      <c r="E44" s="93" t="str" cm="1">
        <f t="array" aca="1" ref="E44" ca="1">MID(CELL("filename",initialize!N2),FIND("]",CELL("filename",initialize!N2))+1,31)</f>
        <v>initialize</v>
      </c>
      <c r="F44" s="32">
        <f>ROW(initialize!N2)</f>
        <v>2</v>
      </c>
      <c r="G44" s="32">
        <f>COLUMN(initialize!N2)</f>
        <v>14</v>
      </c>
      <c r="H44" s="32"/>
      <c r="J44" s="122"/>
      <c r="K44" s="50" t="s">
        <v>34</v>
      </c>
      <c r="L44" s="50" t="s">
        <v>216</v>
      </c>
      <c r="M44" s="50"/>
    </row>
    <row r="45" spans="1:13">
      <c r="A45" s="119"/>
      <c r="B45" s="32" t="s">
        <v>156</v>
      </c>
      <c r="C45" s="32" t="s">
        <v>138</v>
      </c>
      <c r="D45" s="93" t="s">
        <v>96</v>
      </c>
      <c r="E45" s="93" t="str" cm="1">
        <f t="array" aca="1" ref="E45" ca="1">MID(CELL("filename",initialize!N6),FIND("]",CELL("filename",initialize!N6))+1,31)</f>
        <v>initialize</v>
      </c>
      <c r="F45" s="32">
        <f>ROW(initialize!N6)</f>
        <v>6</v>
      </c>
      <c r="G45" s="32">
        <f>COLUMN(initialize!N6)</f>
        <v>14</v>
      </c>
      <c r="H45" s="32"/>
    </row>
    <row r="46" spans="1:13">
      <c r="A46" s="119"/>
      <c r="B46" s="32" t="s">
        <v>157</v>
      </c>
      <c r="C46" s="32" t="s">
        <v>176</v>
      </c>
      <c r="D46" s="93"/>
      <c r="E46" s="93"/>
      <c r="F46" s="32"/>
      <c r="G46" s="32"/>
      <c r="H46" s="50" t="s">
        <v>214</v>
      </c>
      <c r="J46" s="123" t="s">
        <v>219</v>
      </c>
      <c r="K46" s="54" t="s">
        <v>34</v>
      </c>
      <c r="L46" s="54" t="s">
        <v>142</v>
      </c>
      <c r="M46" s="54" t="s">
        <v>146</v>
      </c>
    </row>
    <row r="47" spans="1:13">
      <c r="A47" s="119"/>
      <c r="B47" s="32" t="s">
        <v>157</v>
      </c>
      <c r="C47" s="32" t="s">
        <v>177</v>
      </c>
      <c r="D47" s="93"/>
      <c r="E47" s="93"/>
      <c r="F47" s="32"/>
      <c r="G47" s="32"/>
      <c r="H47" s="50" t="s">
        <v>215</v>
      </c>
      <c r="J47" s="123"/>
      <c r="K47" s="54" t="s">
        <v>34</v>
      </c>
      <c r="L47" s="54" t="s">
        <v>143</v>
      </c>
      <c r="M47" s="54" t="s">
        <v>147</v>
      </c>
    </row>
    <row r="48" spans="1:13">
      <c r="A48" s="119"/>
      <c r="B48" s="32" t="s">
        <v>157</v>
      </c>
      <c r="C48" s="32" t="s">
        <v>178</v>
      </c>
      <c r="D48" s="93"/>
      <c r="E48" s="93"/>
      <c r="F48" s="32"/>
      <c r="G48" s="32"/>
      <c r="H48" s="50" t="s">
        <v>216</v>
      </c>
      <c r="J48" s="123"/>
      <c r="K48" s="54" t="s">
        <v>34</v>
      </c>
      <c r="L48" s="54" t="s">
        <v>144</v>
      </c>
      <c r="M48" s="54" t="s">
        <v>148</v>
      </c>
    </row>
    <row r="49" spans="1:13" ht="12" customHeight="1">
      <c r="A49" s="119"/>
      <c r="B49" s="32" t="s">
        <v>156</v>
      </c>
      <c r="C49" s="32" t="s">
        <v>107</v>
      </c>
      <c r="D49" s="93" t="s">
        <v>96</v>
      </c>
      <c r="E49" s="93" t="str" cm="1">
        <f t="array" aca="1" ref="E49" ca="1">MID(CELL("filename",initialize!Q2),FIND("]",CELL("filename",initialize!Q2))+1,31)</f>
        <v>initialize</v>
      </c>
      <c r="F49" s="32">
        <f>ROW(initialize!Q2)</f>
        <v>2</v>
      </c>
      <c r="G49" s="32">
        <f>COLUMN(initialize!Q2)</f>
        <v>17</v>
      </c>
      <c r="H49" s="32"/>
      <c r="J49" s="123"/>
      <c r="K49" s="54" t="s">
        <v>34</v>
      </c>
      <c r="L49" s="54" t="s">
        <v>194</v>
      </c>
      <c r="M49" s="54" t="s">
        <v>175</v>
      </c>
    </row>
    <row r="50" spans="1:13" ht="30">
      <c r="A50" s="119"/>
      <c r="B50" s="32" t="s">
        <v>156</v>
      </c>
      <c r="C50" s="32" t="s">
        <v>108</v>
      </c>
      <c r="D50" s="93" t="s">
        <v>96</v>
      </c>
      <c r="E50" s="93" t="str" cm="1">
        <f t="array" aca="1" ref="E50" ca="1">MID(CELL("filename",initialize!Q3),FIND("]",CELL("filename",initialize!Q3))+1,31)</f>
        <v>initialize</v>
      </c>
      <c r="F50" s="32">
        <f>ROW(initialize!Q3)</f>
        <v>3</v>
      </c>
      <c r="G50" s="32">
        <f>COLUMN(initialize!Q3)</f>
        <v>17</v>
      </c>
      <c r="H50" s="32"/>
      <c r="J50" s="123"/>
      <c r="K50" s="54" t="s">
        <v>34</v>
      </c>
      <c r="L50" s="54" t="s">
        <v>145</v>
      </c>
      <c r="M50" s="54" t="s">
        <v>174</v>
      </c>
    </row>
    <row r="51" spans="1:13">
      <c r="A51" s="119"/>
      <c r="B51" s="32" t="s">
        <v>156</v>
      </c>
      <c r="C51" s="32" t="s">
        <v>109</v>
      </c>
      <c r="D51" s="93" t="s">
        <v>96</v>
      </c>
      <c r="E51" s="93" t="str" cm="1">
        <f t="array" aca="1" ref="E51" ca="1">MID(CELL("filename",initialize!T3),FIND("]",CELL("filename",initialize!T3))+1,31)</f>
        <v>initialize</v>
      </c>
      <c r="F51" s="32">
        <f>ROW(initialize!T3)</f>
        <v>3</v>
      </c>
      <c r="G51" s="32">
        <f>COLUMN(initialize!T3)</f>
        <v>20</v>
      </c>
      <c r="H51" s="32"/>
    </row>
    <row r="52" spans="1:13">
      <c r="A52" s="119"/>
      <c r="B52" s="32" t="s">
        <v>156</v>
      </c>
      <c r="C52" s="32" t="s">
        <v>110</v>
      </c>
      <c r="D52" s="93" t="s">
        <v>96</v>
      </c>
      <c r="E52" s="93" t="str" cm="1">
        <f t="array" aca="1" ref="E52" ca="1">MID(CELL("filename",initialize!Q4),FIND("]",CELL("filename",initialize!Q4))+1,31)</f>
        <v>initialize</v>
      </c>
      <c r="F52" s="32">
        <f>ROW(initialize!Q4)</f>
        <v>4</v>
      </c>
      <c r="G52" s="32">
        <f>COLUMN(initialize!Q4)</f>
        <v>17</v>
      </c>
      <c r="H52" s="32"/>
    </row>
    <row r="53" spans="1:13">
      <c r="A53" s="119"/>
      <c r="B53" s="32" t="s">
        <v>156</v>
      </c>
      <c r="C53" s="32" t="s">
        <v>111</v>
      </c>
      <c r="D53" s="93" t="s">
        <v>96</v>
      </c>
      <c r="E53" s="93" t="str" cm="1">
        <f t="array" aca="1" ref="E53" ca="1">MID(CELL("filename",initialize!T2),FIND("]",CELL("filename",initialize!T2))+1,31)</f>
        <v>initialize</v>
      </c>
      <c r="F53" s="32">
        <f>ROW(initialize!T2)</f>
        <v>2</v>
      </c>
      <c r="G53" s="32">
        <f>COLUMN(initialize!T2)</f>
        <v>20</v>
      </c>
      <c r="H53" s="32"/>
    </row>
    <row r="54" spans="1:13">
      <c r="A54" s="119"/>
      <c r="B54" s="32" t="s">
        <v>156</v>
      </c>
      <c r="C54" s="32" t="s">
        <v>112</v>
      </c>
      <c r="D54" s="93" t="s">
        <v>96</v>
      </c>
      <c r="E54" s="93" t="str" cm="1">
        <f t="array" aca="1" ref="E54" ca="1">MID(CELL("filename",initialize!T4),FIND("]",CELL("filename",initialize!T4))+1,31)</f>
        <v>initialize</v>
      </c>
      <c r="F54" s="32">
        <f>ROW(initialize!T4)</f>
        <v>4</v>
      </c>
      <c r="G54" s="32">
        <f>COLUMN(initialize!T4)</f>
        <v>20</v>
      </c>
      <c r="H54" s="32"/>
    </row>
    <row r="55" spans="1:13">
      <c r="A55" s="119"/>
      <c r="B55" s="32" t="s">
        <v>156</v>
      </c>
      <c r="C55" s="32" t="s">
        <v>113</v>
      </c>
      <c r="D55" s="93" t="s">
        <v>96</v>
      </c>
      <c r="E55" s="93" t="str" cm="1">
        <f t="array" aca="1" ref="E55" ca="1">MID(CELL("filename",initialize!T6),FIND("]",CELL("filename",initialize!T6))+1,31)</f>
        <v>initialize</v>
      </c>
      <c r="F55" s="32">
        <f>ROW(initialize!T6)</f>
        <v>6</v>
      </c>
      <c r="G55" s="32">
        <f>COLUMN(initialize!T6)</f>
        <v>20</v>
      </c>
      <c r="H55" s="32"/>
    </row>
    <row r="56" spans="1:13" ht="30">
      <c r="A56" s="119"/>
      <c r="B56" s="32" t="s">
        <v>156</v>
      </c>
      <c r="C56" s="32" t="s">
        <v>114</v>
      </c>
      <c r="D56" s="93" t="s">
        <v>96</v>
      </c>
      <c r="E56" s="93" t="str" cm="1">
        <f t="array" aca="1" ref="E56" ca="1">MID(CELL("filename",initialize!T5),FIND("]",CELL("filename",initialize!T5))+1,31)</f>
        <v>initialize</v>
      </c>
      <c r="F56" s="32">
        <f>ROW(initialize!T5)</f>
        <v>5</v>
      </c>
      <c r="G56" s="32">
        <f>COLUMN(initialize!T5)</f>
        <v>20</v>
      </c>
      <c r="H56" s="32"/>
    </row>
    <row r="57" spans="1:13">
      <c r="A57" s="119"/>
      <c r="B57" s="32" t="s">
        <v>156</v>
      </c>
      <c r="C57" s="32" t="s">
        <v>197</v>
      </c>
      <c r="D57" s="93" t="s">
        <v>96</v>
      </c>
      <c r="E57" s="93" t="str" cm="1">
        <f t="array" aca="1" ref="E57" ca="1">MID(CELL("filename",initialize!Q7),FIND("]",CELL("filename",initialize!Q7))+1,31)</f>
        <v>initialize</v>
      </c>
      <c r="F57" s="32">
        <f>ROW(initialize!Q7)</f>
        <v>7</v>
      </c>
      <c r="G57" s="32">
        <f>COLUMN(initialize!Q7)</f>
        <v>17</v>
      </c>
      <c r="H57" s="32"/>
    </row>
    <row r="58" spans="1:13">
      <c r="A58" s="119"/>
      <c r="B58" s="32" t="s">
        <v>156</v>
      </c>
      <c r="C58" s="32" t="s">
        <v>198</v>
      </c>
      <c r="D58" s="93" t="s">
        <v>96</v>
      </c>
      <c r="E58" s="93" t="str" cm="1">
        <f t="array" aca="1" ref="E58" ca="1">MID(CELL("filename",initialize!Q8),FIND("]",CELL("filename",initialize!Q8))+1,31)</f>
        <v>initialize</v>
      </c>
      <c r="F58" s="32">
        <f>ROW(initialize!Q8)</f>
        <v>8</v>
      </c>
      <c r="G58" s="32">
        <f>COLUMN(initialize!Q8)</f>
        <v>17</v>
      </c>
      <c r="H58" s="32"/>
    </row>
    <row r="59" spans="1:13">
      <c r="A59" s="119"/>
      <c r="B59" s="32" t="s">
        <v>156</v>
      </c>
      <c r="C59" s="32" t="s">
        <v>199</v>
      </c>
      <c r="D59" s="93" t="s">
        <v>96</v>
      </c>
      <c r="E59" s="93" t="str" cm="1">
        <f t="array" aca="1" ref="E59" ca="1">MID(CELL("filename",initialize!Q9),FIND("]",CELL("filename",initialize!Q9))+1,31)</f>
        <v>initialize</v>
      </c>
      <c r="F59" s="32">
        <f>ROW(initialize!Q9)</f>
        <v>9</v>
      </c>
      <c r="G59" s="32">
        <f>COLUMN(initialize!Q9)</f>
        <v>17</v>
      </c>
      <c r="H59" s="32"/>
    </row>
    <row r="60" spans="1:13">
      <c r="A60" s="119"/>
      <c r="B60" s="32" t="s">
        <v>156</v>
      </c>
      <c r="C60" s="32" t="s">
        <v>115</v>
      </c>
      <c r="D60" s="93" t="s">
        <v>96</v>
      </c>
      <c r="E60" s="93" t="str" cm="1">
        <f t="array" aca="1" ref="E60" ca="1">MID(CELL("filename",initialize!W5),FIND("]",CELL("filename",initialize!W5))+1,31)</f>
        <v>initialize</v>
      </c>
      <c r="F60" s="32">
        <f>ROW(initialize!W5)</f>
        <v>5</v>
      </c>
      <c r="G60" s="32">
        <f>COLUMN(initialize!W5)</f>
        <v>23</v>
      </c>
      <c r="H60" s="32"/>
    </row>
    <row r="61" spans="1:13">
      <c r="A61" s="119"/>
      <c r="B61" s="32" t="s">
        <v>156</v>
      </c>
      <c r="C61" s="32" t="s">
        <v>221</v>
      </c>
      <c r="D61" s="93" t="s">
        <v>96</v>
      </c>
      <c r="E61" s="93" t="str" cm="1">
        <f t="array" aca="1" ref="E61" ca="1">MID(CELL("filename",initialize!W6),FIND("]",CELL("filename",initialize!W6))+1,31)</f>
        <v>initialize</v>
      </c>
      <c r="F61" s="32">
        <f>ROW(initialize!W6)</f>
        <v>6</v>
      </c>
      <c r="G61" s="32">
        <f>COLUMN(initialize!W6)</f>
        <v>23</v>
      </c>
      <c r="H61" s="32"/>
    </row>
    <row r="62" spans="1:13">
      <c r="A62" s="119"/>
      <c r="B62" s="32" t="s">
        <v>156</v>
      </c>
      <c r="C62" s="32" t="s">
        <v>158</v>
      </c>
      <c r="D62" s="93" t="s">
        <v>96</v>
      </c>
      <c r="E62" s="93" t="str" cm="1">
        <f t="array" aca="1" ref="E62" ca="1">MID(CELL("filename",initialize!T9),FIND("]",CELL("filename",initialize!T9))+1,31)</f>
        <v>initialize</v>
      </c>
      <c r="F62" s="32">
        <f>ROW(initialize!T9)</f>
        <v>9</v>
      </c>
      <c r="G62" s="32">
        <f>COLUMN(initialize!T9)</f>
        <v>20</v>
      </c>
      <c r="H62" s="32"/>
    </row>
    <row r="63" spans="1:13">
      <c r="A63" s="119"/>
      <c r="B63" s="32" t="s">
        <v>156</v>
      </c>
      <c r="C63" s="32" t="s">
        <v>116</v>
      </c>
      <c r="D63" s="93" t="s">
        <v>96</v>
      </c>
      <c r="E63" s="93" t="str" cm="1">
        <f t="array" aca="1" ref="E63" ca="1">MID(CELL("filename",initialize!T10),FIND("]",CELL("filename",initialize!T10))+1,31)</f>
        <v>initialize</v>
      </c>
      <c r="F63" s="32">
        <f>ROW(initialize!T10)</f>
        <v>10</v>
      </c>
      <c r="G63" s="32">
        <f>COLUMN(initialize!T10)</f>
        <v>20</v>
      </c>
      <c r="H63" s="32"/>
    </row>
    <row r="64" spans="1:13">
      <c r="A64" s="119"/>
      <c r="B64" s="32" t="s">
        <v>156</v>
      </c>
      <c r="C64" s="32" t="s">
        <v>117</v>
      </c>
      <c r="D64" s="93" t="s">
        <v>96</v>
      </c>
      <c r="E64" s="93" t="str" cm="1">
        <f t="array" aca="1" ref="E64" ca="1">MID(CELL("filename",initialize!W2),FIND("]",CELL("filename",initialize!W2))+1,31)</f>
        <v>initialize</v>
      </c>
      <c r="F64" s="32">
        <f>ROW(initialize!W2)</f>
        <v>2</v>
      </c>
      <c r="G64" s="32">
        <f>COLUMN(initialize!W2)</f>
        <v>23</v>
      </c>
      <c r="H64" s="32"/>
    </row>
    <row r="65" spans="1:8">
      <c r="A65" s="119"/>
      <c r="B65" s="32" t="s">
        <v>156</v>
      </c>
      <c r="C65" s="32" t="s">
        <v>118</v>
      </c>
      <c r="D65" s="93" t="s">
        <v>96</v>
      </c>
      <c r="E65" s="93" t="str" cm="1">
        <f t="array" aca="1" ref="E65" ca="1">MID(CELL("filename",initialize!W3),FIND("]",CELL("filename",initialize!W3))+1,31)</f>
        <v>initialize</v>
      </c>
      <c r="F65" s="32">
        <f>ROW(initialize!W3)</f>
        <v>3</v>
      </c>
      <c r="G65" s="32">
        <f>COLUMN(initialize!W3)</f>
        <v>23</v>
      </c>
      <c r="H65" s="32"/>
    </row>
    <row r="66" spans="1:8">
      <c r="A66" s="119"/>
      <c r="B66" s="32" t="s">
        <v>156</v>
      </c>
      <c r="C66" s="32" t="s">
        <v>119</v>
      </c>
      <c r="D66" s="93" t="s">
        <v>96</v>
      </c>
      <c r="E66" s="93" t="str" cm="1">
        <f t="array" aca="1" ref="E66" ca="1">MID(CELL("filename",initialize!W4),FIND("]",CELL("filename",initialize!W4))+1,31)</f>
        <v>initialize</v>
      </c>
      <c r="F66" s="32">
        <f>ROW(initialize!W4)</f>
        <v>4</v>
      </c>
      <c r="G66" s="32">
        <f>COLUMN(initialize!W4)</f>
        <v>23</v>
      </c>
      <c r="H66" s="32"/>
    </row>
    <row r="67" spans="1:8">
      <c r="A67" s="119"/>
      <c r="B67" s="32" t="s">
        <v>156</v>
      </c>
      <c r="C67" s="32" t="s">
        <v>159</v>
      </c>
      <c r="D67" s="93" t="s">
        <v>96</v>
      </c>
      <c r="E67" s="93" t="str" cm="1">
        <f t="array" aca="1" ref="E67" ca="1">MID(CELL("filename",initialize!W7),FIND("]",CELL("filename",initialize!W7))+1,31)</f>
        <v>initialize</v>
      </c>
      <c r="F67" s="32">
        <f>ROW(initialize!W7)</f>
        <v>7</v>
      </c>
      <c r="G67" s="32">
        <f>COLUMN(initialize!W7)</f>
        <v>23</v>
      </c>
      <c r="H67" s="32"/>
    </row>
    <row r="68" spans="1:8">
      <c r="A68" s="119"/>
      <c r="B68" s="32" t="s">
        <v>156</v>
      </c>
      <c r="C68" s="32" t="s">
        <v>200</v>
      </c>
      <c r="D68" s="93" t="s">
        <v>96</v>
      </c>
      <c r="E68" s="93" t="str" cm="1">
        <f t="array" aca="1" ref="E68" ca="1">MID(CELL("filename",initialize!W8),FIND("]",CELL("filename",initialize!W8))+1,31)</f>
        <v>initialize</v>
      </c>
      <c r="F68" s="32">
        <f>ROW(initialize!W8)</f>
        <v>8</v>
      </c>
      <c r="G68" s="32">
        <f>COLUMN(initialize!W8)</f>
        <v>23</v>
      </c>
      <c r="H68" s="32"/>
    </row>
    <row r="69" spans="1:8">
      <c r="A69" s="119"/>
      <c r="B69" s="32" t="s">
        <v>156</v>
      </c>
      <c r="C69" s="32" t="s">
        <v>120</v>
      </c>
      <c r="D69" s="93" t="s">
        <v>96</v>
      </c>
      <c r="E69" s="93" t="str" cm="1">
        <f t="array" aca="1" ref="E69" ca="1">MID(CELL("filename",initialize!Z2),FIND("]",CELL("filename",initialize!Z2))+1,31)</f>
        <v>initialize</v>
      </c>
      <c r="F69" s="32">
        <f>ROW(initialize!Z2)</f>
        <v>2</v>
      </c>
      <c r="G69" s="32">
        <f>COLUMN(initialize!Z2)</f>
        <v>26</v>
      </c>
      <c r="H69" s="32"/>
    </row>
    <row r="70" spans="1:8">
      <c r="A70" s="119"/>
      <c r="B70" s="32" t="s">
        <v>156</v>
      </c>
      <c r="C70" s="32" t="s">
        <v>121</v>
      </c>
      <c r="D70" s="93" t="s">
        <v>96</v>
      </c>
      <c r="E70" s="93" t="str" cm="1">
        <f t="array" aca="1" ref="E70" ca="1">MID(CELL("filename",initialize!Z3),FIND("]",CELL("filename",initialize!Z3))+1,31)</f>
        <v>initialize</v>
      </c>
      <c r="F70" s="32">
        <f>ROW(initialize!Z3)</f>
        <v>3</v>
      </c>
      <c r="G70" s="32">
        <f>COLUMN(initialize!Z3)</f>
        <v>26</v>
      </c>
      <c r="H70" s="32"/>
    </row>
    <row r="71" spans="1:8">
      <c r="A71" s="119"/>
      <c r="B71" s="32" t="s">
        <v>156</v>
      </c>
      <c r="C71" s="32" t="s">
        <v>122</v>
      </c>
      <c r="D71" s="93" t="s">
        <v>96</v>
      </c>
      <c r="E71" s="93" t="str" cm="1">
        <f t="array" aca="1" ref="E71" ca="1">MID(CELL("filename",initialize!Z4),FIND("]",CELL("filename",initialize!Z4))+1,31)</f>
        <v>initialize</v>
      </c>
      <c r="F71" s="32">
        <f>ROW(initialize!Z4)</f>
        <v>4</v>
      </c>
      <c r="G71" s="32">
        <f>COLUMN(initialize!Z4)</f>
        <v>26</v>
      </c>
      <c r="H71" s="32"/>
    </row>
    <row r="72" spans="1:8">
      <c r="A72" s="119"/>
      <c r="B72" s="32" t="s">
        <v>156</v>
      </c>
      <c r="C72" s="32" t="s">
        <v>124</v>
      </c>
      <c r="D72" s="93" t="s">
        <v>96</v>
      </c>
      <c r="E72" s="93" t="str" cm="1">
        <f t="array" aca="1" ref="E72" ca="1">MID(CELL("filename",initialize!AA2),FIND("]",CELL("filename",initialize!AA2))+1,31)</f>
        <v>initialize</v>
      </c>
      <c r="F72" s="32">
        <f>ROW(initialize!AA2)</f>
        <v>2</v>
      </c>
      <c r="G72" s="32">
        <f>COLUMN(initialize!AA2)</f>
        <v>27</v>
      </c>
      <c r="H72" s="32"/>
    </row>
    <row r="73" spans="1:8">
      <c r="A73" s="119"/>
      <c r="B73" s="32" t="s">
        <v>156</v>
      </c>
      <c r="C73" s="32" t="s">
        <v>125</v>
      </c>
      <c r="D73" s="93" t="s">
        <v>96</v>
      </c>
      <c r="E73" s="93" t="str" cm="1">
        <f t="array" aca="1" ref="E73" ca="1">MID(CELL("filename",initialize!AA3),FIND("]",CELL("filename",initialize!AA3))+1,31)</f>
        <v>initialize</v>
      </c>
      <c r="F73" s="32">
        <f>ROW(initialize!AA3)</f>
        <v>3</v>
      </c>
      <c r="G73" s="32">
        <f>COLUMN(initialize!AA3)</f>
        <v>27</v>
      </c>
      <c r="H73" s="32"/>
    </row>
    <row r="74" spans="1:8">
      <c r="A74" s="119"/>
      <c r="B74" s="32" t="s">
        <v>156</v>
      </c>
      <c r="C74" s="32" t="s">
        <v>123</v>
      </c>
      <c r="D74" s="93" t="s">
        <v>96</v>
      </c>
      <c r="E74" s="93" t="str" cm="1">
        <f t="array" aca="1" ref="E74" ca="1">MID(CELL("filename",initialize!AA4),FIND("]",CELL("filename",initialize!AA4))+1,31)</f>
        <v>initialize</v>
      </c>
      <c r="F74" s="32">
        <f>ROW(initialize!AA4)</f>
        <v>4</v>
      </c>
      <c r="G74" s="32">
        <f>COLUMN(initialize!AA4)</f>
        <v>27</v>
      </c>
      <c r="H74" s="32"/>
    </row>
    <row r="75" spans="1:8">
      <c r="A75" s="119"/>
      <c r="B75" s="32" t="s">
        <v>157</v>
      </c>
      <c r="C75" s="32" t="s">
        <v>139</v>
      </c>
      <c r="D75" s="93"/>
      <c r="E75" s="93"/>
      <c r="F75" s="32"/>
      <c r="G75" s="32"/>
      <c r="H75" s="32"/>
    </row>
    <row r="76" spans="1:8">
      <c r="A76" s="119"/>
      <c r="B76" s="32" t="s">
        <v>157</v>
      </c>
      <c r="C76" s="32" t="s">
        <v>140</v>
      </c>
      <c r="D76" s="93"/>
      <c r="E76" s="93"/>
      <c r="F76" s="32"/>
      <c r="G76" s="32"/>
      <c r="H76" s="32"/>
    </row>
    <row r="77" spans="1:8">
      <c r="A77" s="120"/>
      <c r="B77" s="32" t="s">
        <v>157</v>
      </c>
      <c r="C77" s="32" t="s">
        <v>141</v>
      </c>
      <c r="D77" s="93"/>
      <c r="E77" s="93"/>
      <c r="F77" s="32"/>
      <c r="G77" s="32"/>
      <c r="H77" s="32"/>
    </row>
    <row r="79" spans="1:8">
      <c r="E79"/>
      <c r="F79"/>
      <c r="G79"/>
      <c r="H79"/>
    </row>
    <row r="80" spans="1:8">
      <c r="E80"/>
      <c r="F80"/>
      <c r="G80"/>
      <c r="H80"/>
    </row>
    <row r="81" spans="5:8">
      <c r="E81"/>
      <c r="F81"/>
      <c r="G81"/>
      <c r="H81"/>
    </row>
    <row r="82" spans="5:8">
      <c r="E82"/>
      <c r="F82"/>
      <c r="G82"/>
      <c r="H82"/>
    </row>
    <row r="83" spans="5:8">
      <c r="E83"/>
      <c r="F83"/>
      <c r="G83"/>
      <c r="H83"/>
    </row>
    <row r="84" spans="5:8">
      <c r="E84"/>
      <c r="F84"/>
      <c r="G84"/>
      <c r="H84"/>
    </row>
    <row r="85" spans="5:8">
      <c r="E85"/>
      <c r="F85"/>
      <c r="G85"/>
      <c r="H85"/>
    </row>
    <row r="86" spans="5:8">
      <c r="E86"/>
      <c r="F86"/>
      <c r="G86"/>
      <c r="H86"/>
    </row>
    <row r="87" spans="5:8">
      <c r="E87"/>
      <c r="F87"/>
      <c r="G87"/>
      <c r="H87"/>
    </row>
    <row r="88" spans="5:8">
      <c r="E88"/>
      <c r="F88"/>
      <c r="G88"/>
      <c r="H88"/>
    </row>
    <row r="89" spans="5:8">
      <c r="E89"/>
      <c r="F89"/>
      <c r="G89"/>
      <c r="H89"/>
    </row>
    <row r="90" spans="5:8">
      <c r="E90"/>
      <c r="F90"/>
      <c r="G90"/>
      <c r="H90"/>
    </row>
    <row r="91" spans="5:8">
      <c r="E91"/>
      <c r="F91"/>
      <c r="G91"/>
      <c r="H91"/>
    </row>
    <row r="92" spans="5:8">
      <c r="E92"/>
      <c r="F92"/>
      <c r="G92"/>
      <c r="H92"/>
    </row>
    <row r="93" spans="5:8">
      <c r="E93"/>
      <c r="F93"/>
      <c r="G93"/>
      <c r="H93"/>
    </row>
    <row r="94" spans="5:8">
      <c r="E94"/>
      <c r="F94"/>
      <c r="G94"/>
      <c r="H94"/>
    </row>
    <row r="95" spans="5:8">
      <c r="E95"/>
      <c r="F95"/>
      <c r="G95"/>
      <c r="H95"/>
    </row>
    <row r="96" spans="5:8">
      <c r="E96"/>
      <c r="F96"/>
      <c r="G96"/>
      <c r="H96"/>
    </row>
    <row r="97" spans="5:8">
      <c r="E97"/>
      <c r="F97"/>
      <c r="G97"/>
      <c r="H97"/>
    </row>
    <row r="98" spans="5:8">
      <c r="E98"/>
      <c r="F98"/>
      <c r="G98"/>
      <c r="H98"/>
    </row>
    <row r="99" spans="5:8">
      <c r="E99"/>
      <c r="F99"/>
      <c r="G99"/>
      <c r="H99"/>
    </row>
    <row r="100" spans="5:8">
      <c r="E100"/>
      <c r="F100"/>
      <c r="G100"/>
      <c r="H100"/>
    </row>
    <row r="101" spans="5:8">
      <c r="E101"/>
      <c r="F101"/>
      <c r="G101"/>
      <c r="H101"/>
    </row>
    <row r="102" spans="5:8">
      <c r="E102"/>
      <c r="F102"/>
      <c r="G102"/>
      <c r="H102"/>
    </row>
    <row r="103" spans="5:8">
      <c r="E103"/>
      <c r="F103"/>
      <c r="G103"/>
      <c r="H103"/>
    </row>
    <row r="104" spans="5:8">
      <c r="E104"/>
      <c r="F104"/>
      <c r="G104"/>
      <c r="H104"/>
    </row>
    <row r="105" spans="5:8">
      <c r="E105"/>
      <c r="F105"/>
      <c r="G105"/>
      <c r="H105"/>
    </row>
    <row r="106" spans="5:8">
      <c r="E106"/>
      <c r="F106"/>
      <c r="G106"/>
      <c r="H106"/>
    </row>
    <row r="107" spans="5:8">
      <c r="E107"/>
      <c r="F107"/>
      <c r="G107"/>
      <c r="H107"/>
    </row>
    <row r="108" spans="5:8">
      <c r="E108"/>
      <c r="F108"/>
      <c r="G108"/>
      <c r="H108"/>
    </row>
    <row r="109" spans="5:8">
      <c r="E109"/>
      <c r="F109"/>
      <c r="G109"/>
      <c r="H109"/>
    </row>
    <row r="110" spans="5:8">
      <c r="E110"/>
      <c r="F110"/>
      <c r="G110"/>
      <c r="H110"/>
    </row>
    <row r="111" spans="5:8">
      <c r="E111"/>
      <c r="F111"/>
      <c r="G111"/>
      <c r="H111"/>
    </row>
    <row r="112" spans="5:8">
      <c r="E112"/>
      <c r="F112"/>
      <c r="G112"/>
      <c r="H112"/>
    </row>
    <row r="113" spans="2:8">
      <c r="E113"/>
      <c r="F113"/>
      <c r="G113"/>
      <c r="H113"/>
    </row>
    <row r="114" spans="2:8">
      <c r="E114"/>
      <c r="F114"/>
      <c r="G114"/>
      <c r="H114"/>
    </row>
    <row r="117" spans="2:8">
      <c r="B117"/>
    </row>
    <row r="118" spans="2:8">
      <c r="B118"/>
    </row>
    <row r="119" spans="2:8">
      <c r="B119"/>
    </row>
  </sheetData>
  <mergeCells count="8">
    <mergeCell ref="A33:A77"/>
    <mergeCell ref="J27:J37"/>
    <mergeCell ref="J14:J25"/>
    <mergeCell ref="J2:J12"/>
    <mergeCell ref="J39:J44"/>
    <mergeCell ref="J46:J50"/>
    <mergeCell ref="A24:A31"/>
    <mergeCell ref="A2:A22"/>
  </mergeCells>
  <phoneticPr fontId="9" type="noConversion"/>
  <pageMargins left="0.7" right="0.7" top="0.78740157499999996" bottom="0.78740157499999996" header="0.3" footer="0.3"/>
  <pageSetup paperSize="9" scale="38" fitToHeight="0"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1</vt:i4>
      </vt:variant>
    </vt:vector>
  </HeadingPairs>
  <TitlesOfParts>
    <vt:vector size="9" baseType="lpstr">
      <vt:lpstr>read_me</vt:lpstr>
      <vt:lpstr>modify</vt:lpstr>
      <vt:lpstr>initialize</vt:lpstr>
      <vt:lpstr>calc1</vt:lpstr>
      <vt:lpstr>calc2</vt:lpstr>
      <vt:lpstr>calc3</vt:lpstr>
      <vt:lpstr>export</vt:lpstr>
      <vt:lpstr>labels</vt:lpstr>
      <vt:lpstr>sampling_of_xth_sample__1_each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Anna Renz</dc:creator>
  <cp:lastModifiedBy>Jochen Neumaier</cp:lastModifiedBy>
  <cp:lastPrinted>2023-03-15T10:43:07Z</cp:lastPrinted>
  <dcterms:created xsi:type="dcterms:W3CDTF">2022-11-18T19:45:53Z</dcterms:created>
  <dcterms:modified xsi:type="dcterms:W3CDTF">2024-06-07T12:30:21Z</dcterms:modified>
</cp:coreProperties>
</file>